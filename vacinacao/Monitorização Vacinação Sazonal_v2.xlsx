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Águeda" sheetId="2" state="visible" r:id="rId4"/>
    <sheet name="Albergaria-A-Velha" sheetId="3" state="visible" r:id="rId5"/>
    <sheet name="Anadia" sheetId="4" state="visible" r:id="rId6"/>
    <sheet name="Aveiro" sheetId="5" state="visible" r:id="rId7"/>
    <sheet name="Estarreja" sheetId="6" state="visible" r:id="rId8"/>
    <sheet name="Ílhavo" sheetId="7" state="visible" r:id="rId9"/>
    <sheet name="Murtosa" sheetId="8" state="visible" r:id="rId10"/>
    <sheet name="Oliveira do Bairro" sheetId="9" state="visible" r:id="rId11"/>
    <sheet name="Sever do Vouga" sheetId="10" state="visible" r:id="rId12"/>
    <sheet name="Vagos" sheetId="11" state="visible" r:id="rId13"/>
    <sheet name="Núcleo Vacinação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<sst xmlns="http://schemas.openxmlformats.org/spreadsheetml/2006/main" count="660" uniqueCount="237">
  <si>
    <t xml:space="preserve">Monitorização da Vacinação Sazonal — COVID-19 e Gripe</t>
  </si>
  <si>
    <t xml:space="preserve">Instruções de preenchimento (uma folha por concelho)</t>
  </si>
  <si>
    <t xml:space="preserve">1. Preencher APENAS as células a amarelo. As células a cinzento contêm fórmulas e estão protegidas.</t>
  </si>
  <si>
    <t xml:space="preserve">2. Cada linha corresponde a um estabelecimento. A coluna 'Tipologia' classifica-o como ERPI, CD (Centro de Dia), Lar Residencial ou UCCI — escolher da lista.</t>
  </si>
  <si>
    <t xml:space="preserve">3. Para efeitos de totais, ERPI conta como 'ERPI' e todas as restantes tipologias (CD, Lar Residencial, UCCI) contam como 'Similares'.</t>
  </si>
  <si>
    <t xml:space="preserve">4. 'Total Profissionais' e 'Total Utentes' referem-se ao total elegível do estabelecimento; 'aceitam' = aceitaram ser vacinados; 'vacinados' = efetivamente vacinados.</t>
  </si>
  <si>
    <t xml:space="preserve">5. ATENÇÃO — profissionais partilhados: se a mesma instituição aparece em mais do que uma linha (ex.: ERPI e CD), os profissionais comuns devem ser contados apenas numa das linhas, para não duplicar os totais.</t>
  </si>
  <si>
    <t xml:space="preserve">6. Novos estabelecimentos: usar as linhas em branco no fim da tabela (antes dos totais). Preencher a designação e a tipologia.</t>
  </si>
  <si>
    <t xml:space="preserve">7. Uma célula fica a vermelho quando: falta a tipologia, ou o nº de vacinados/aceitantes excede o total respetivo — verificar o valor.</t>
  </si>
  <si>
    <t xml:space="preserve">8. A folha 'Núcleo Vacinação' calcula-se automaticamente: não precisa de preenchimento.</t>
  </si>
  <si>
    <t xml:space="preserve">9. As folhas estão protegidas sem palavra-passe (Rever &gt; Desproteger folha, se necessário).</t>
  </si>
  <si>
    <t xml:space="preserve">Definições das colunas calculadas:</t>
  </si>
  <si>
    <t xml:space="preserve">   % Utentes vacinados = Utentes vacinados ÷ Total Utentes</t>
  </si>
  <si>
    <t xml:space="preserve">   % Profissionais vacinados (Núcleo) = Profissionais vacinados ÷ Total Profissionais</t>
  </si>
  <si>
    <t xml:space="preserve">   Total vacinados (U+P) = Utentes vacinados + Profissionais vacinados</t>
  </si>
  <si>
    <t xml:space="preserve">Exemplo de preenchimento (valores fictícios):</t>
  </si>
  <si>
    <t xml:space="preserve">Designação</t>
  </si>
  <si>
    <t xml:space="preserve">Tipologia</t>
  </si>
  <si>
    <t xml:space="preserve">Total Prof.</t>
  </si>
  <si>
    <t xml:space="preserve">Total Utentes</t>
  </si>
  <si>
    <t xml:space="preserve">Ut. aceitam (COVID)</t>
  </si>
  <si>
    <t xml:space="preserve">Ut. vacinados (COVID)</t>
  </si>
  <si>
    <t xml:space="preserve">Lar Exemplo de São Tomé (ERPI)</t>
  </si>
  <si>
    <t xml:space="preserve">ERPI</t>
  </si>
  <si>
    <t xml:space="preserve">COVID-19</t>
  </si>
  <si>
    <t xml:space="preserve">GRIPE</t>
  </si>
  <si>
    <t xml:space="preserve">Designação do Estabelecimento</t>
  </si>
  <si>
    <t xml:space="preserve">Total Profissionais</t>
  </si>
  <si>
    <t xml:space="preserve">Utentes aceitam</t>
  </si>
  <si>
    <t xml:space="preserve">Utentes vacinados</t>
  </si>
  <si>
    <t xml:space="preserve">% Utentes vacinados</t>
  </si>
  <si>
    <t xml:space="preserve">Profissionais aceitam</t>
  </si>
  <si>
    <t xml:space="preserve">Profissionais vacinados</t>
  </si>
  <si>
    <t xml:space="preserve">Total vacinados (U+P)</t>
  </si>
  <si>
    <t xml:space="preserve">Associação Fermentelense Assistência Crianças e 3ª Idade (ERPI)</t>
  </si>
  <si>
    <t xml:space="preserve">Associação Macinhatense Recreio e Cultura "AMAR" (ERPI)</t>
  </si>
  <si>
    <t xml:space="preserve">Centro Social de Belazaima do Chão (ERPI)</t>
  </si>
  <si>
    <t xml:space="preserve">Jardim Social de Travassô (ERPI)</t>
  </si>
  <si>
    <t xml:space="preserve">Centro Social Paroquial de Recardães - Cozinha 2 (ERPI)</t>
  </si>
  <si>
    <t xml:space="preserve">Centro Social Paroquial de Recardães - Cozinha 1 (ERPI)</t>
  </si>
  <si>
    <t xml:space="preserve">Fundação Nossa Senhora da Conceição de Valongo do Vouga (ERPI)</t>
  </si>
  <si>
    <t xml:space="preserve">LAAC - Liga Amigos Aguada Cima (ERPI)</t>
  </si>
  <si>
    <t xml:space="preserve">Associação Pais Mourisca Vouga "Os Pioneiros" (ERPI)</t>
  </si>
  <si>
    <t xml:space="preserve">Centro Apoio Social Cultural e Recreativa "O Mágico " (ERPI)</t>
  </si>
  <si>
    <t xml:space="preserve">Paraíso Social de Aguada De Baixo (ERPI)</t>
  </si>
  <si>
    <t xml:space="preserve">Santa Casa da Misericórdia de Águeda - Lar Conde Sucena (ERPI)</t>
  </si>
  <si>
    <t xml:space="preserve">Santa Casa da Misericórdia de Águeda - Casa Repouso Dr. António Breda e Lea Breda (ERPI)</t>
  </si>
  <si>
    <t xml:space="preserve">Associação Nossa Senhora da Esperança - Centro Social, Cultural e Recreativo (ERPI)</t>
  </si>
  <si>
    <t xml:space="preserve">Centro Social de Agadão (ERPI)</t>
  </si>
  <si>
    <t xml:space="preserve">Fundação Isabel Domingues (ERPI)</t>
  </si>
  <si>
    <t xml:space="preserve">Associação Fermentelense Assistência Crianças e 3ª Idade (CD)</t>
  </si>
  <si>
    <t xml:space="preserve">CD</t>
  </si>
  <si>
    <t xml:space="preserve">Associação Macinhatense Recreio e Cultura "AMAR" (CD)</t>
  </si>
  <si>
    <t xml:space="preserve">Centro Social de Belazaima do Chão (CD)</t>
  </si>
  <si>
    <t xml:space="preserve">Jardim Social de Travassô (CD)</t>
  </si>
  <si>
    <t xml:space="preserve">Centro Social Paroquial de Recardães - Cozinha 2 (CD)</t>
  </si>
  <si>
    <t xml:space="preserve">Centro Social Paroquial de Recardães - Cozinha 1 (CD)</t>
  </si>
  <si>
    <t xml:space="preserve">Fundação Nossa Senhora da Conceição de Valongo do Vouga (CD)</t>
  </si>
  <si>
    <t xml:space="preserve">LAAC - Liga Amigos Aguada Cima (CD)</t>
  </si>
  <si>
    <t xml:space="preserve">Associação Pais Mourisca Vouga "Os Pioneiros" (CD)</t>
  </si>
  <si>
    <t xml:space="preserve">Centro Apoio Social Cultural e Recreativa "O Mágico " (CD)</t>
  </si>
  <si>
    <t xml:space="preserve">Paraíso Social de Aguada De Baixo (CD)</t>
  </si>
  <si>
    <t xml:space="preserve">Santa Casa da Misericórdia de Águeda - Lar Conde Sucena (CD)</t>
  </si>
  <si>
    <t xml:space="preserve">Associação Nossa Senhora da Esperança - Centro Social, Cultural e Recreativo (CD)</t>
  </si>
  <si>
    <t xml:space="preserve">Centro Social de Agadão (CD)</t>
  </si>
  <si>
    <t xml:space="preserve">Associação Recreativa e Cultural Óis da Ribeira "ARCOR" (CD)</t>
  </si>
  <si>
    <t xml:space="preserve">Centro Social e Paroquial da Borralha (CD)</t>
  </si>
  <si>
    <t xml:space="preserve">Centro Social Arco -Iris (CD)</t>
  </si>
  <si>
    <t xml:space="preserve">CERCIAG (LAr Residencial)</t>
  </si>
  <si>
    <t xml:space="preserve">Lar Residencial</t>
  </si>
  <si>
    <t xml:space="preserve">Casa Redolho - Borralha (Lar Residencial)</t>
  </si>
  <si>
    <t xml:space="preserve">Santa Casa da Misericórdia de Águeda - Casa Repouso Dr. António Breda e Lea Breda (UCCI)</t>
  </si>
  <si>
    <t xml:space="preserve">UCCI</t>
  </si>
  <si>
    <t xml:space="preserve">TOTAL ERPI</t>
  </si>
  <si>
    <t xml:space="preserve">TOTAL SIMILARES</t>
  </si>
  <si>
    <t xml:space="preserve">TOTAL CONCELHO</t>
  </si>
  <si>
    <t xml:space="preserve">Sénior Vita Oliveiras (ERPI)</t>
  </si>
  <si>
    <t xml:space="preserve">Associação Solidariedade Social Alquerubim (ERPI)</t>
  </si>
  <si>
    <t xml:space="preserve">Solar das Camélias (ERPI)</t>
  </si>
  <si>
    <t xml:space="preserve">Geriabranca (ERPI)</t>
  </si>
  <si>
    <t xml:space="preserve">Irmandade da Misericórdia Albergaria-a-Velha (ERPI)</t>
  </si>
  <si>
    <t xml:space="preserve">Residencias Montepio Albergaria (ERPI)</t>
  </si>
  <si>
    <t xml:space="preserve">Associação Solidariedade Social Alquerubim (CD)</t>
  </si>
  <si>
    <t xml:space="preserve">Irmandade da Misericórdia Albergaria-a-Velha (CD)</t>
  </si>
  <si>
    <t xml:space="preserve">Centro Social e Paroquial de Angeja (CD)</t>
  </si>
  <si>
    <t xml:space="preserve">Probranca - Centro Comunitário Padre Conde (CD)</t>
  </si>
  <si>
    <t xml:space="preserve">CEDIARA - Associação de Solidariedade Social de Ribeira de Fráguas (CD)</t>
  </si>
  <si>
    <t xml:space="preserve">APPACDM - Soutelo (Lar Residencial)</t>
  </si>
  <si>
    <t xml:space="preserve">APPACDM - "Lar Renascer" (Lar Residencial)</t>
  </si>
  <si>
    <t xml:space="preserve">Residencias Montepio Albergaria (UCCI)</t>
  </si>
  <si>
    <t xml:space="preserve">ASAC -Associação Social de Avelãs de Caminho (ERPI)</t>
  </si>
  <si>
    <t xml:space="preserve">Centro Social e Cultural Nossa Senhora do Ó de Aguim (ERPI)</t>
  </si>
  <si>
    <t xml:space="preserve">Centro Social Paroquial da Moita de Anadia (ERPI)</t>
  </si>
  <si>
    <t xml:space="preserve">Centro Social Cultural Recreativo de Poutena (erpi)</t>
  </si>
  <si>
    <t xml:space="preserve">Centro Social Cultural e Recreativo da Freguesia de Avelãs Cima (ERPI)</t>
  </si>
  <si>
    <t xml:space="preserve">Misericórdia de Sangalhos - Lar (ERPI)</t>
  </si>
  <si>
    <t xml:space="preserve">Santa Casa da Misericórdia de Anadia - Complexo Social Seabra Castro (ERPI)</t>
  </si>
  <si>
    <t xml:space="preserve">Santa Casa da Misericórdia de Anadia - Lar José Luciano de Castro (ERPI)</t>
  </si>
  <si>
    <t xml:space="preserve">Ibervita - Residências Senior Assistidas (ERPI)</t>
  </si>
  <si>
    <t xml:space="preserve">Hotel Sénior Curia (ERPI)</t>
  </si>
  <si>
    <t xml:space="preserve">ASAC -Associação Social de Avelãs de Caminho (CD)</t>
  </si>
  <si>
    <t xml:space="preserve">Centro Social e Cultural Nossa Senhora do Ó de Aguim (CD)</t>
  </si>
  <si>
    <t xml:space="preserve">Centro Social Paroquial da Moita de Anadia (CD)</t>
  </si>
  <si>
    <t xml:space="preserve">Centro Social Cultural Recreativo de Poutena (CD)</t>
  </si>
  <si>
    <t xml:space="preserve">Centro Social Cultural e Recreativo da Freguesia de Avelãs Cima (CD)</t>
  </si>
  <si>
    <t xml:space="preserve">Misericórdia de Sangalhos - Lar (CD)</t>
  </si>
  <si>
    <t xml:space="preserve">Santa Casa da Misericórdia de Anadia - Complexo Social Seabra Castro (CD)</t>
  </si>
  <si>
    <t xml:space="preserve">Casa Povo Amoreira Gândara (CD)</t>
  </si>
  <si>
    <t xml:space="preserve">Centro Apoio Social Vila Nova Monsarros (CD)</t>
  </si>
  <si>
    <t xml:space="preserve">Centro Bem-Estar Social Freguesia Tamengos (CD)</t>
  </si>
  <si>
    <t xml:space="preserve">Centro Social Recreativo e Cultural de Pedralva (CD)</t>
  </si>
  <si>
    <t xml:space="preserve">Centro Social, Cultural e Recreativo Paredes Bairro (CD)</t>
  </si>
  <si>
    <t xml:space="preserve">APPACDM  - Lar de Avelãs de Caminho (Lar Residencial)</t>
  </si>
  <si>
    <t xml:space="preserve">APPACDM  - Lar de Montouro (Lar Residencial)</t>
  </si>
  <si>
    <t xml:space="preserve">APPACDM - Lar de Vilarinho (Lar Residencial)</t>
  </si>
  <si>
    <t xml:space="preserve">Santa Casa da Misericórdia de Anadia - Hospital José Luciano Castro (UCCI)</t>
  </si>
  <si>
    <t xml:space="preserve">FCPSSSDA - Fundação da Casa do Pessoal da Segurança Social e da Saúde do Distrito de Aveiro - Centro Integrado de Aradas (ERPI)</t>
  </si>
  <si>
    <t xml:space="preserve">Centro de Formação e Cultura da Costa do Valado (ERPI)</t>
  </si>
  <si>
    <t xml:space="preserve">Centro Paroquial de São Bernardo (ERPI)</t>
  </si>
  <si>
    <t xml:space="preserve">Centro Comunitário da Paróquia de S. Pedro de Aradas - Lar Paroquial Amélia Madail (ERPI)</t>
  </si>
  <si>
    <t xml:space="preserve">Centro Social Santa Joana Princesa (ERPI)</t>
  </si>
  <si>
    <t xml:space="preserve">Florinhas do Vouga - Casa Sacerdotal (ERPI)</t>
  </si>
  <si>
    <t xml:space="preserve">Patronato Nossa Senhora de Fátima (ERPI)</t>
  </si>
  <si>
    <t xml:space="preserve">Centro Comunitário da Vera Cruz (ERPI)</t>
  </si>
  <si>
    <t xml:space="preserve">Santa Casa da Misericórdia de Aveiro - Complexo da Moita (ERPI)</t>
  </si>
  <si>
    <t xml:space="preserve">Santa Casa da Misericórdia de Aveiro - Edifício Irmãos Rangel (ERPI)</t>
  </si>
  <si>
    <t xml:space="preserve">Fundação CESDA - Lar Passo Senior (ERPI)</t>
  </si>
  <si>
    <t xml:space="preserve">ASAS de Santa Joana - Associação de Solidariedade e Acção Social (ERPI)</t>
  </si>
  <si>
    <t xml:space="preserve">Associação de Solidariedade Social dos Professores - Casa do Professor Aveiro (ERPI)</t>
  </si>
  <si>
    <t xml:space="preserve">Lar Ilda Carvalho (ERPI)</t>
  </si>
  <si>
    <t xml:space="preserve">Casa do Sol Poente - residência senior (ERPI)</t>
  </si>
  <si>
    <t xml:space="preserve">GERIAVI 01 A1 S.A. - Domusvi - Unidade D. Pedro V  (ERPI)</t>
  </si>
  <si>
    <t xml:space="preserve">FCPSSSDA - Fundação da Casa do Pessoal da Segurança Social e da Saúde do Distrito de Aveiro - Centro Integrado de Aradas (CD)</t>
  </si>
  <si>
    <t xml:space="preserve">Centro de Formação e Cultura da Costa do Valado (CD)</t>
  </si>
  <si>
    <t xml:space="preserve">Centro Paroquial de São Bernardo - idosos (CD)</t>
  </si>
  <si>
    <t xml:space="preserve">Centro Comunitário da Paróquia de S. Pedro de Aradas - Lar Paroquial Amélia Madail (CD)</t>
  </si>
  <si>
    <t xml:space="preserve">Centro Social Santa Joana Princesa - Idosos (CD)</t>
  </si>
  <si>
    <t xml:space="preserve">Centro Comunitário da Vera Cruz - (CD)</t>
  </si>
  <si>
    <t xml:space="preserve">Santa Casa da Misericórdia de Aveiro - Complexo da Moita (CD)</t>
  </si>
  <si>
    <t xml:space="preserve">Fundação CESDA - Lar Passo Senior (CD)</t>
  </si>
  <si>
    <t xml:space="preserve">ASAS de Santa Joana - Associação de Solidariedade e Acção Social (CD)</t>
  </si>
  <si>
    <t xml:space="preserve">Associação de Melhoramentos de Eixo (AME) (CD)</t>
  </si>
  <si>
    <t xml:space="preserve">Centro Social e Paroquial Santa Eulália de Eirol (CD)</t>
  </si>
  <si>
    <t xml:space="preserve">Centro Social e Paroquial São Pedro de Nariz (CD)</t>
  </si>
  <si>
    <t xml:space="preserve">Centro Social e Paroquial de Cacia (CD)</t>
  </si>
  <si>
    <t xml:space="preserve">Florinhas do Vouga (CD)</t>
  </si>
  <si>
    <t xml:space="preserve">Patronato Nossa Senhora de Fátima (CD)</t>
  </si>
  <si>
    <t xml:space="preserve">Centro Social e Paroquial Santo André de Esgueira (CD)</t>
  </si>
  <si>
    <t xml:space="preserve">Centro Social e Paroquial São Jacinto (CD)</t>
  </si>
  <si>
    <t xml:space="preserve">APPACDM - Lar de Oliveirinha (Lar Residencial)</t>
  </si>
  <si>
    <t xml:space="preserve">APPACDM - Lar de Santiago (Lar Residencial)</t>
  </si>
  <si>
    <t xml:space="preserve">APPACDM - Lar de S. Bernardo (Lar Residencial)</t>
  </si>
  <si>
    <t xml:space="preserve">Centro Paroquial e Social Santa Marinha Avanca (ERPI)</t>
  </si>
  <si>
    <t xml:space="preserve">Fundação Cónego Filipe Figueiredo (ERPI)</t>
  </si>
  <si>
    <t xml:space="preserve">Associação Quinta Rezende (ERPI)</t>
  </si>
  <si>
    <t xml:space="preserve">Associação "Vida Nova" Lar Idosos (ERPI)</t>
  </si>
  <si>
    <t xml:space="preserve">Associação Humanitária Salreu (ERPI)</t>
  </si>
  <si>
    <t xml:space="preserve">Santa Casa da Misericórdia de Estarreja (ERPI)</t>
  </si>
  <si>
    <t xml:space="preserve">Residencial Sénior Estrela Confiante (ERPI)</t>
  </si>
  <si>
    <t xml:space="preserve">Centro Paroquial e Social Santa Marinha Avanca (CD)</t>
  </si>
  <si>
    <t xml:space="preserve">Fundação Cónego Filipe Figueiredo (CD)</t>
  </si>
  <si>
    <t xml:space="preserve">Associação Humanitária Salreu (CD)</t>
  </si>
  <si>
    <t xml:space="preserve">Santa Casa da Misericórdia de Estarreja (CD)</t>
  </si>
  <si>
    <t xml:space="preserve">Centro Social e Paroquial São Tomé Canelas (CD)</t>
  </si>
  <si>
    <t xml:space="preserve">Centro Paroquial Assistência Freguesia Pardilhó (CD)</t>
  </si>
  <si>
    <t xml:space="preserve">Associação Solidariedade Social - Filantrópica Veirense (CD)</t>
  </si>
  <si>
    <t xml:space="preserve">Centro Paroquial e Social Santa Marinha Avanca (UCCI)</t>
  </si>
  <si>
    <t xml:space="preserve">CASCI - Estrutura Residencial Para Pessoas Idosas 1 (ERPI 1)</t>
  </si>
  <si>
    <t xml:space="preserve">CASCI - Estrutura Residencial Para Pessoas Idosas 2 (ERPI 2)</t>
  </si>
  <si>
    <t xml:space="preserve">Centro Social Paroquial Nossa Senhora Nazaré (ERPI)</t>
  </si>
  <si>
    <t xml:space="preserve">Associação Solidariedade Social Gafanha Carmo (ERPI)</t>
  </si>
  <si>
    <t xml:space="preserve">Património dos Pobres da Freguesia de Ílhavo - Lar de São José (ERPI)</t>
  </si>
  <si>
    <t xml:space="preserve">CASCI - Lar Residencial + CAO</t>
  </si>
  <si>
    <t xml:space="preserve">Centro Social Paroquial Nossa Senhora Nazaré (CD)</t>
  </si>
  <si>
    <t xml:space="preserve">Associação Solidariedade Social Gafanha Carmo (CD)</t>
  </si>
  <si>
    <t xml:space="preserve">Santa CAsa da Misericórida de Ílhavo (UCCI)</t>
  </si>
  <si>
    <t xml:space="preserve">Lar Santo Estevão (ERPI)</t>
  </si>
  <si>
    <t xml:space="preserve">Casa Repouso "Solar Nossa Terra" (ERPI)</t>
  </si>
  <si>
    <t xml:space="preserve">Santa Casa da Misericórdia da Murtosa (ERPI)</t>
  </si>
  <si>
    <t xml:space="preserve">Santa Casa da Misericórdia da Murtosa (CD)</t>
  </si>
  <si>
    <t xml:space="preserve">Centro Social e Paroquial Bunheiro (CD)</t>
  </si>
  <si>
    <t xml:space="preserve">Asfita - Associação Filantrópica Torreira (CD)</t>
  </si>
  <si>
    <t xml:space="preserve">Santa Casa da Misericordia de Oliveira Bairro (ERPI)</t>
  </si>
  <si>
    <t xml:space="preserve">AMPER - Associação dos Amigos de Perrães (ERPI)</t>
  </si>
  <si>
    <t xml:space="preserve">Sobustos (ERPI)</t>
  </si>
  <si>
    <t xml:space="preserve">Centro Social e Paroquial de São Pedro da Palhaça (ERPI)</t>
  </si>
  <si>
    <t xml:space="preserve">Centro Social Oiã (ERPI)</t>
  </si>
  <si>
    <t xml:space="preserve">Recanto da Natureza (ERPI)</t>
  </si>
  <si>
    <t xml:space="preserve">SOLSIL - Associação de Solidariedade Social do Silveiro (ERPI)</t>
  </si>
  <si>
    <t xml:space="preserve">Lar Ricardo Jorge &amp; Andreia (ERPI)</t>
  </si>
  <si>
    <t xml:space="preserve">Santa Casa da Misericordia de Oliveira Bairro (CD)</t>
  </si>
  <si>
    <t xml:space="preserve">Centro Social e Paroquial de São Pedro da Palhaça (CD)</t>
  </si>
  <si>
    <t xml:space="preserve">Centro Social Oiã (CD)</t>
  </si>
  <si>
    <t xml:space="preserve">SOLSIL - Associação de Solidariedade Social do Silveiro (CD)</t>
  </si>
  <si>
    <t xml:space="preserve">AMPER - Associação dos Amigos de Perrães (CD)</t>
  </si>
  <si>
    <t xml:space="preserve">Centro Ambiente Para Todos (CD)</t>
  </si>
  <si>
    <t xml:space="preserve">ABC - Associação de Beneficiência e Cultura (CD)</t>
  </si>
  <si>
    <t xml:space="preserve">Lar Ricardo Jorge &amp; Andreia (Lar Residencial)</t>
  </si>
  <si>
    <t xml:space="preserve">SOLSIL - Associação de Solidariedade Social do Silveiro (Lar Residencial)</t>
  </si>
  <si>
    <t xml:space="preserve">Santa Casa da Misericordia de Oliveira Bairro (UCCI)</t>
  </si>
  <si>
    <t xml:space="preserve">Associação Pró Cidadão Deficiente Integrado (APCDI) Nogueira (ERPI)</t>
  </si>
  <si>
    <t xml:space="preserve">Santa Casa da Misericórdia de Sever do Vouga (ERPI)</t>
  </si>
  <si>
    <t xml:space="preserve">Centro Social Maria Glória Almeida Pinho (ERPI)</t>
  </si>
  <si>
    <t xml:space="preserve">Fundação Bernardo Barbosa Quadros (ERPI)</t>
  </si>
  <si>
    <t xml:space="preserve">Associação Pró Cidadão Deficiente Integrado (APCDI) Nogueira (CD)</t>
  </si>
  <si>
    <t xml:space="preserve">Santa Casa da Misericórdia de Sever do Vouga (CD)</t>
  </si>
  <si>
    <t xml:space="preserve">Centro Social Maria Glória Almeida Pinho (CD)</t>
  </si>
  <si>
    <t xml:space="preserve">Fundação Bernardo Barbosa Quadros (CD)</t>
  </si>
  <si>
    <t xml:space="preserve">Santa Casa da Misericórdia de Sever do Vouga - Talhadas (CD)</t>
  </si>
  <si>
    <t xml:space="preserve">Associação Pró Cidadão Deficiente Integrado (APCDI) Nogueira (UCCI)</t>
  </si>
  <si>
    <t xml:space="preserve">Centro Social e Bem Estar de Ouca - Lar de S. Martinho (ERPI)</t>
  </si>
  <si>
    <t xml:space="preserve">Centro Comunitário do Centro Social e Bem Estar de Ouca (ERPI)</t>
  </si>
  <si>
    <t xml:space="preserve">Santa Casa da Misericordia de Vagos (ERPI)</t>
  </si>
  <si>
    <t xml:space="preserve">Centro de Acção Social do Covão do Lobo (ERPI)</t>
  </si>
  <si>
    <t xml:space="preserve">Centro Social e Paroquial de Santo Antonio (ERPI)</t>
  </si>
  <si>
    <t xml:space="preserve">Associação Boa-Hora (CD)</t>
  </si>
  <si>
    <t xml:space="preserve">Associação Betel- Ponte de Vagos (CD)</t>
  </si>
  <si>
    <t xml:space="preserve">Comissão de Apoio Social e Desenvolvimento Stª Catarina (CD)</t>
  </si>
  <si>
    <t xml:space="preserve">Centro Social e Paroquial Calvão (CD)</t>
  </si>
  <si>
    <t xml:space="preserve">Comissão de Apoio Social e Desenvolvimento Stª Catarina (Lar Residencial)</t>
  </si>
  <si>
    <t xml:space="preserve">Concelho</t>
  </si>
  <si>
    <t xml:space="preserve">Grupo</t>
  </si>
  <si>
    <t xml:space="preserve">Nº Estabelecimentos</t>
  </si>
  <si>
    <t xml:space="preserve">% Profissionais vacinados</t>
  </si>
  <si>
    <t xml:space="preserve">Águeda</t>
  </si>
  <si>
    <t xml:space="preserve">Similares</t>
  </si>
  <si>
    <t xml:space="preserve">Total</t>
  </si>
  <si>
    <t xml:space="preserve">Albergaria-A-Velha</t>
  </si>
  <si>
    <t xml:space="preserve">Anadia</t>
  </si>
  <si>
    <t xml:space="preserve">Aveiro</t>
  </si>
  <si>
    <t xml:space="preserve">Estarreja</t>
  </si>
  <si>
    <t xml:space="preserve">Ílhavo</t>
  </si>
  <si>
    <t xml:space="preserve">Murtosa</t>
  </si>
  <si>
    <t xml:space="preserve">Oliveira do Bairro</t>
  </si>
  <si>
    <t xml:space="preserve">Sever do Vouga</t>
  </si>
  <si>
    <t xml:space="preserve">Vagos</t>
  </si>
  <si>
    <t xml:space="preserve">TOTAL GERAL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</si>
</sst>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595959"/>
        <bgColor rgb="FF4E7A3A"/>
      </patternFill>
    </fill>
    <fill>
      <patternFill patternType="solid">
        <fgColor rgb="FFFFF2CC"/>
        <bgColor rgb="FFF2F2F2"/>
      </patternFill>
    </fill>
    <fill>
      <patternFill patternType="solid">
        <fgColor rgb="FF2E5E8C"/>
        <bgColor rgb="FF595959"/>
      </patternFill>
    </fill>
    <fill>
      <patternFill patternType="solid">
        <fgColor rgb="FF4E7A3A"/>
        <bgColor rgb="FF595959"/>
      </patternFill>
    </fill>
    <fill>
      <patternFill patternType="solid">
        <fgColor rgb="FFF2F2F2"/>
        <bgColor rgb="FFE2EFDA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D9D9D9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4E7A3A"/>
      <rgbColor rgb="FF003300"/>
      <rgbColor rgb="FF333300"/>
      <rgbColor rgb="FF993300"/>
      <rgbColor rgb="FF993366"/>
      <rgbColor rgb="FF2E5E8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8"/>
  </cols>
  <sheetData>
    <row r="1" customFormat="false" ht="32.8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23.85" hidden="false" customHeight="false" outlineLevel="0" collapsed="false">
      <c r="A4" s="3" t="s">
        <v>2</v>
      </c>
    </row>
    <row r="5" customFormat="false" ht="35.05" hidden="false" customHeight="false" outlineLevel="0" collapsed="false">
      <c r="A5" s="3" t="s">
        <v>3</v>
      </c>
    </row>
    <row r="6" customFormat="false" ht="23.85" hidden="false" customHeight="false" outlineLevel="0" collapsed="false">
      <c r="A6" s="3" t="s">
        <v>4</v>
      </c>
    </row>
    <row r="7" customFormat="false" ht="35.05" hidden="false" customHeight="false" outlineLevel="0" collapsed="false">
      <c r="A7" s="3" t="s">
        <v>5</v>
      </c>
    </row>
    <row r="8" customFormat="false" ht="35.05" hidden="false" customHeight="false" outlineLevel="0" collapsed="false">
      <c r="A8" s="3" t="s">
        <v>6</v>
      </c>
    </row>
    <row r="9" customFormat="false" ht="23.85" hidden="false" customHeight="false" outlineLevel="0" collapsed="false">
      <c r="A9" s="3" t="s">
        <v>7</v>
      </c>
    </row>
    <row r="10" customFormat="false" ht="23.85" hidden="false" customHeight="false" outlineLevel="0" collapsed="false">
      <c r="A10" s="3" t="s">
        <v>8</v>
      </c>
    </row>
    <row r="11" customFormat="false" ht="23.85" hidden="false" customHeight="false" outlineLevel="0" collapsed="false">
      <c r="A11" s="3" t="s">
        <v>9</v>
      </c>
    </row>
    <row r="12" customFormat="false" ht="23.85" hidden="false" customHeight="false" outlineLevel="0" collapsed="false">
      <c r="A12" s="3" t="s">
        <v>10</v>
      </c>
    </row>
    <row r="13" customFormat="false" ht="15" hidden="false" customHeight="false" outlineLevel="0" collapsed="false">
      <c r="A13" s="3"/>
    </row>
    <row r="14" customFormat="false" ht="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3" t="s">
        <v>12</v>
      </c>
    </row>
    <row r="16" customFormat="false" ht="23.8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3"/>
    </row>
    <row r="19" customFormat="false" ht="15" hidden="false" customHeight="false" outlineLevel="0" collapsed="false">
      <c r="A19" s="2" t="s">
        <v>15</v>
      </c>
    </row>
    <row r="20" customFormat="false" ht="23.85" hidden="false" customHeight="false" outlineLevel="0" collapsed="false">
      <c r="A20" s="4" t="s">
        <v>16</v>
      </c>
      <c r="B20" s="4" t="s">
        <v>17</v>
      </c>
      <c r="C20" s="4" t="s">
        <v>18</v>
      </c>
      <c r="D20" s="4" t="s">
        <v>19</v>
      </c>
      <c r="E20" s="4" t="s">
        <v>20</v>
      </c>
      <c r="F20" s="4" t="s">
        <v>21</v>
      </c>
    </row>
    <row r="21" customFormat="false" ht="15" hidden="false" customHeight="false" outlineLevel="0" collapsed="false">
      <c r="A21" s="5" t="s">
        <v>22</v>
      </c>
      <c r="B21" s="6" t="s">
        <v>23</v>
      </c>
      <c r="C21" s="6" t="n">
        <v>25</v>
      </c>
      <c r="D21" s="6" t="n">
        <v>60</v>
      </c>
      <c r="E21" s="6" t="n">
        <v>55</v>
      </c>
      <c r="F21" s="6" t="n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5"/>
    <col collapsed="false" customWidth="true" hidden="false" outlineLevel="0" max="16" min="3" style="0" width="13"/>
  </cols>
  <sheetData>
    <row r="1" customFormat="false" ht="15" hidden="false" customHeight="true" outlineLevel="0" collapsed="false">
      <c r="E1" s="7" t="s">
        <v>24</v>
      </c>
      <c r="F1" s="7"/>
      <c r="G1" s="7"/>
      <c r="H1" s="7"/>
      <c r="I1" s="7"/>
      <c r="J1" s="7"/>
      <c r="K1" s="8" t="s">
        <v>25</v>
      </c>
      <c r="L1" s="8"/>
      <c r="M1" s="8"/>
      <c r="N1" s="8"/>
      <c r="O1" s="8"/>
      <c r="P1" s="8"/>
    </row>
    <row r="2" customFormat="false" ht="35.05" hidden="false" customHeight="false" outlineLevel="0" collapsed="false">
      <c r="A2" s="4" t="s">
        <v>26</v>
      </c>
      <c r="B2" s="4" t="s">
        <v>17</v>
      </c>
      <c r="C2" s="4" t="s">
        <v>27</v>
      </c>
      <c r="D2" s="4" t="s">
        <v>19</v>
      </c>
      <c r="E2" s="9" t="s">
        <v>28</v>
      </c>
      <c r="F2" s="9" t="s">
        <v>29</v>
      </c>
      <c r="G2" s="9" t="s">
        <v>30</v>
      </c>
      <c r="H2" s="9" t="s">
        <v>31</v>
      </c>
      <c r="I2" s="9" t="s">
        <v>32</v>
      </c>
      <c r="J2" s="9" t="s">
        <v>33</v>
      </c>
      <c r="K2" s="10" t="s">
        <v>28</v>
      </c>
      <c r="L2" s="10" t="s">
        <v>29</v>
      </c>
      <c r="M2" s="10" t="s">
        <v>30</v>
      </c>
      <c r="N2" s="10" t="s">
        <v>31</v>
      </c>
      <c r="O2" s="10" t="s">
        <v>32</v>
      </c>
      <c r="P2" s="10" t="s">
        <v>33</v>
      </c>
    </row>
    <row r="3" customFormat="false" ht="15" hidden="false" customHeight="false" outlineLevel="0" collapsed="false">
      <c r="A3" s="11" t="s">
        <v>34</v>
      </c>
      <c r="B3" s="12" t="s">
        <v>23</v>
      </c>
      <c r="C3" s="12"/>
      <c r="D3" s="12"/>
      <c r="E3" s="12"/>
      <c r="F3" s="12"/>
      <c r="G3" s="13" t="str">
        <f aca="false">IF($A3="","",IFERROR(F3/$D3,""))</f>
        <v/>
      </c>
      <c r="H3" s="12"/>
      <c r="I3" s="12"/>
      <c r="J3" s="14" t="n">
        <f aca="false">IF($A3="","",SUM(F3,I3))</f>
        <v>0</v>
      </c>
      <c r="K3" s="12"/>
      <c r="L3" s="12"/>
      <c r="M3" s="13" t="str">
        <f aca="false">IF($A3="","",IFERROR(L3/$D3,""))</f>
        <v/>
      </c>
      <c r="N3" s="12"/>
      <c r="O3" s="12"/>
      <c r="P3" s="14" t="n">
        <f aca="false">IF($A3="","",SUM(L3,O3))</f>
        <v>0</v>
      </c>
    </row>
    <row r="4" customFormat="false" ht="15" hidden="false" customHeight="false" outlineLevel="0" collapsed="false">
      <c r="A4" s="11" t="s">
        <v>35</v>
      </c>
      <c r="B4" s="12" t="s">
        <v>23</v>
      </c>
      <c r="C4" s="12"/>
      <c r="D4" s="12"/>
      <c r="E4" s="12"/>
      <c r="F4" s="12"/>
      <c r="G4" s="13" t="str">
        <f aca="false">IF($A4="","",IFERROR(F4/$D4,""))</f>
        <v/>
      </c>
      <c r="H4" s="12"/>
      <c r="I4" s="12"/>
      <c r="J4" s="14" t="n">
        <f aca="false">IF($A4="","",SUM(F4,I4))</f>
        <v>0</v>
      </c>
      <c r="K4" s="12"/>
      <c r="L4" s="12"/>
      <c r="M4" s="13" t="str">
        <f aca="false">IF($A4="","",IFERROR(L4/$D4,""))</f>
        <v/>
      </c>
      <c r="N4" s="12"/>
      <c r="O4" s="12"/>
      <c r="P4" s="14" t="n">
        <f aca="false">IF($A4="","",SUM(L4,O4))</f>
        <v>0</v>
      </c>
    </row>
    <row r="5" customFormat="false" ht="15" hidden="false" customHeight="false" outlineLevel="0" collapsed="false">
      <c r="A5" s="11" t="s">
        <v>36</v>
      </c>
      <c r="B5" s="12" t="s">
        <v>23</v>
      </c>
      <c r="C5" s="12"/>
      <c r="D5" s="12"/>
      <c r="E5" s="12"/>
      <c r="F5" s="12"/>
      <c r="G5" s="13" t="str">
        <f aca="false">IF($A5="","",IFERROR(F5/$D5,""))</f>
        <v/>
      </c>
      <c r="H5" s="12"/>
      <c r="I5" s="12"/>
      <c r="J5" s="14" t="n">
        <f aca="false">IF($A5="","",SUM(F5,I5))</f>
        <v>0</v>
      </c>
      <c r="K5" s="12"/>
      <c r="L5" s="12"/>
      <c r="M5" s="13" t="str">
        <f aca="false">IF($A5="","",IFERROR(L5/$D5,""))</f>
        <v/>
      </c>
      <c r="N5" s="12"/>
      <c r="O5" s="12"/>
      <c r="P5" s="14" t="n">
        <f aca="false">IF($A5="","",SUM(L5,O5))</f>
        <v>0</v>
      </c>
    </row>
    <row r="6" customFormat="false" ht="15" hidden="false" customHeight="false" outlineLevel="0" collapsed="false">
      <c r="A6" s="11" t="s">
        <v>37</v>
      </c>
      <c r="B6" s="12" t="s">
        <v>23</v>
      </c>
      <c r="C6" s="12"/>
      <c r="D6" s="12"/>
      <c r="E6" s="12"/>
      <c r="F6" s="12"/>
      <c r="G6" s="13" t="str">
        <f aca="false">IF($A6="","",IFERROR(F6/$D6,""))</f>
        <v/>
      </c>
      <c r="H6" s="12"/>
      <c r="I6" s="12"/>
      <c r="J6" s="14" t="n">
        <f aca="false">IF($A6="","",SUM(F6,I6))</f>
        <v>0</v>
      </c>
      <c r="K6" s="12"/>
      <c r="L6" s="12"/>
      <c r="M6" s="13" t="str">
        <f aca="false">IF($A6="","",IFERROR(L6/$D6,""))</f>
        <v/>
      </c>
      <c r="N6" s="12"/>
      <c r="O6" s="12"/>
      <c r="P6" s="14" t="n">
        <f aca="false">IF($A6="","",SUM(L6,O6))</f>
        <v>0</v>
      </c>
    </row>
    <row r="7" customFormat="false" ht="15" hidden="false" customHeight="false" outlineLevel="0" collapsed="false">
      <c r="A7" s="11" t="s">
        <v>38</v>
      </c>
      <c r="B7" s="12" t="s">
        <v>23</v>
      </c>
      <c r="C7" s="12"/>
      <c r="D7" s="12"/>
      <c r="E7" s="12"/>
      <c r="F7" s="12"/>
      <c r="G7" s="13" t="str">
        <f aca="false">IF($A7="","",IFERROR(F7/$D7,""))</f>
        <v/>
      </c>
      <c r="H7" s="12"/>
      <c r="I7" s="12"/>
      <c r="J7" s="14" t="n">
        <f aca="false">IF($A7="","",SUM(F7,I7))</f>
        <v>0</v>
      </c>
      <c r="K7" s="12"/>
      <c r="L7" s="12"/>
      <c r="M7" s="13" t="str">
        <f aca="false">IF($A7="","",IFERROR(L7/$D7,""))</f>
        <v/>
      </c>
      <c r="N7" s="12"/>
      <c r="O7" s="12"/>
      <c r="P7" s="14" t="n">
        <f aca="false">IF($A7="","",SUM(L7,O7))</f>
        <v>0</v>
      </c>
    </row>
    <row r="8" customFormat="false" ht="15" hidden="false" customHeight="false" outlineLevel="0" collapsed="false">
      <c r="A8" s="11" t="s">
        <v>39</v>
      </c>
      <c r="B8" s="12" t="s">
        <v>23</v>
      </c>
      <c r="C8" s="12"/>
      <c r="D8" s="12"/>
      <c r="E8" s="12"/>
      <c r="F8" s="12"/>
      <c r="G8" s="13" t="str">
        <f aca="false">IF($A8="","",IFERROR(F8/$D8,""))</f>
        <v/>
      </c>
      <c r="H8" s="12"/>
      <c r="I8" s="12"/>
      <c r="J8" s="14" t="n">
        <f aca="false">IF($A8="","",SUM(F8,I8))</f>
        <v>0</v>
      </c>
      <c r="K8" s="12"/>
      <c r="L8" s="12"/>
      <c r="M8" s="13" t="str">
        <f aca="false">IF($A8="","",IFERROR(L8/$D8,""))</f>
        <v/>
      </c>
      <c r="N8" s="12"/>
      <c r="O8" s="12"/>
      <c r="P8" s="14" t="n">
        <f aca="false">IF($A8="","",SUM(L8,O8))</f>
        <v>0</v>
      </c>
    </row>
    <row r="9" customFormat="false" ht="15" hidden="false" customHeight="false" outlineLevel="0" collapsed="false">
      <c r="A9" s="11" t="s">
        <v>40</v>
      </c>
      <c r="B9" s="12" t="s">
        <v>23</v>
      </c>
      <c r="C9" s="12"/>
      <c r="D9" s="12"/>
      <c r="E9" s="12"/>
      <c r="F9" s="12"/>
      <c r="G9" s="13" t="str">
        <f aca="false">IF($A9="","",IFERROR(F9/$D9,""))</f>
        <v/>
      </c>
      <c r="H9" s="12"/>
      <c r="I9" s="12"/>
      <c r="J9" s="14" t="n">
        <f aca="false">IF($A9="","",SUM(F9,I9))</f>
        <v>0</v>
      </c>
      <c r="K9" s="12"/>
      <c r="L9" s="12"/>
      <c r="M9" s="13" t="str">
        <f aca="false">IF($A9="","",IFERROR(L9/$D9,""))</f>
        <v/>
      </c>
      <c r="N9" s="12"/>
      <c r="O9" s="12"/>
      <c r="P9" s="14" t="n">
        <f aca="false">IF($A9="","",SUM(L9,O9))</f>
        <v>0</v>
      </c>
    </row>
    <row r="10" customFormat="false" ht="15" hidden="false" customHeight="false" outlineLevel="0" collapsed="false">
      <c r="A10" s="11" t="s">
        <v>41</v>
      </c>
      <c r="B10" s="12" t="s">
        <v>23</v>
      </c>
      <c r="C10" s="12"/>
      <c r="D10" s="12"/>
      <c r="E10" s="12"/>
      <c r="F10" s="12"/>
      <c r="G10" s="13" t="str">
        <f aca="false">IF($A10="","",IFERROR(F10/$D10,""))</f>
        <v/>
      </c>
      <c r="H10" s="12"/>
      <c r="I10" s="12"/>
      <c r="J10" s="14" t="n">
        <f aca="false">IF($A10="","",SUM(F10,I10))</f>
        <v>0</v>
      </c>
      <c r="K10" s="12"/>
      <c r="L10" s="12"/>
      <c r="M10" s="13" t="str">
        <f aca="false">IF($A10="","",IFERROR(L10/$D10,""))</f>
        <v/>
      </c>
      <c r="N10" s="12"/>
      <c r="O10" s="12"/>
      <c r="P10" s="14" t="n">
        <f aca="false">IF($A10="","",SUM(L10,O10))</f>
        <v>0</v>
      </c>
    </row>
    <row r="11" customFormat="false" ht="15" hidden="false" customHeight="false" outlineLevel="0" collapsed="false">
      <c r="A11" s="11" t="s">
        <v>42</v>
      </c>
      <c r="B11" s="12" t="s">
        <v>23</v>
      </c>
      <c r="C11" s="12"/>
      <c r="D11" s="12"/>
      <c r="E11" s="12"/>
      <c r="F11" s="12"/>
      <c r="G11" s="13" t="str">
        <f aca="false">IF($A11="","",IFERROR(F11/$D11,""))</f>
        <v/>
      </c>
      <c r="H11" s="12"/>
      <c r="I11" s="12"/>
      <c r="J11" s="14" t="n">
        <f aca="false">IF($A11="","",SUM(F11,I11))</f>
        <v>0</v>
      </c>
      <c r="K11" s="12"/>
      <c r="L11" s="12"/>
      <c r="M11" s="13" t="str">
        <f aca="false">IF($A11="","",IFERROR(L11/$D11,""))</f>
        <v/>
      </c>
      <c r="N11" s="12"/>
      <c r="O11" s="12"/>
      <c r="P11" s="14" t="n">
        <f aca="false">IF($A11="","",SUM(L11,O11))</f>
        <v>0</v>
      </c>
    </row>
    <row r="12" customFormat="false" ht="15" hidden="false" customHeight="false" outlineLevel="0" collapsed="false">
      <c r="A12" s="11" t="s">
        <v>43</v>
      </c>
      <c r="B12" s="12" t="s">
        <v>23</v>
      </c>
      <c r="C12" s="12"/>
      <c r="D12" s="12"/>
      <c r="E12" s="12"/>
      <c r="F12" s="12"/>
      <c r="G12" s="13" t="str">
        <f aca="false">IF($A12="","",IFERROR(F12/$D12,""))</f>
        <v/>
      </c>
      <c r="H12" s="12"/>
      <c r="I12" s="12"/>
      <c r="J12" s="14" t="n">
        <f aca="false">IF($A12="","",SUM(F12,I12))</f>
        <v>0</v>
      </c>
      <c r="K12" s="12"/>
      <c r="L12" s="12"/>
      <c r="M12" s="13" t="str">
        <f aca="false">IF($A12="","",IFERROR(L12/$D12,""))</f>
        <v/>
      </c>
      <c r="N12" s="12"/>
      <c r="O12" s="12"/>
      <c r="P12" s="14" t="n">
        <f aca="false">IF($A12="","",SUM(L12,O12))</f>
        <v>0</v>
      </c>
    </row>
    <row r="13" customFormat="false" ht="15" hidden="false" customHeight="false" outlineLevel="0" collapsed="false">
      <c r="A13" s="11" t="s">
        <v>44</v>
      </c>
      <c r="B13" s="12" t="s">
        <v>23</v>
      </c>
      <c r="C13" s="12"/>
      <c r="D13" s="12"/>
      <c r="E13" s="12"/>
      <c r="F13" s="12"/>
      <c r="G13" s="13" t="str">
        <f aca="false">IF($A13="","",IFERROR(F13/$D13,""))</f>
        <v/>
      </c>
      <c r="H13" s="12"/>
      <c r="I13" s="12"/>
      <c r="J13" s="14" t="n">
        <f aca="false">IF($A13="","",SUM(F13,I13))</f>
        <v>0</v>
      </c>
      <c r="K13" s="12"/>
      <c r="L13" s="12"/>
      <c r="M13" s="13" t="str">
        <f aca="false">IF($A13="","",IFERROR(L13/$D13,""))</f>
        <v/>
      </c>
      <c r="N13" s="12"/>
      <c r="O13" s="12"/>
      <c r="P13" s="14" t="n">
        <f aca="false">IF($A13="","",SUM(L13,O13))</f>
        <v>0</v>
      </c>
    </row>
    <row r="14" customFormat="false" ht="15" hidden="false" customHeight="false" outlineLevel="0" collapsed="false">
      <c r="A14" s="11" t="s">
        <v>45</v>
      </c>
      <c r="B14" s="12" t="s">
        <v>23</v>
      </c>
      <c r="C14" s="12"/>
      <c r="D14" s="12"/>
      <c r="E14" s="12"/>
      <c r="F14" s="12"/>
      <c r="G14" s="13" t="str">
        <f aca="false">IF($A14="","",IFERROR(F14/$D14,""))</f>
        <v/>
      </c>
      <c r="H14" s="12"/>
      <c r="I14" s="12"/>
      <c r="J14" s="14" t="n">
        <f aca="false">IF($A14="","",SUM(F14,I14))</f>
        <v>0</v>
      </c>
      <c r="K14" s="12"/>
      <c r="L14" s="12"/>
      <c r="M14" s="13" t="str">
        <f aca="false">IF($A14="","",IFERROR(L14/$D14,""))</f>
        <v/>
      </c>
      <c r="N14" s="12"/>
      <c r="O14" s="12"/>
      <c r="P14" s="14" t="n">
        <f aca="false">IF($A14="","",SUM(L14,O14))</f>
        <v>0</v>
      </c>
    </row>
    <row r="15" customFormat="false" ht="23.85" hidden="false" customHeight="false" outlineLevel="0" collapsed="false">
      <c r="A15" s="11" t="s">
        <v>46</v>
      </c>
      <c r="B15" s="12" t="s">
        <v>23</v>
      </c>
      <c r="C15" s="12"/>
      <c r="D15" s="12"/>
      <c r="E15" s="12"/>
      <c r="F15" s="12"/>
      <c r="G15" s="13" t="str">
        <f aca="false">IF($A15="","",IFERROR(F15/$D15,""))</f>
        <v/>
      </c>
      <c r="H15" s="12"/>
      <c r="I15" s="12"/>
      <c r="J15" s="14" t="n">
        <f aca="false">IF($A15="","",SUM(F15,I15))</f>
        <v>0</v>
      </c>
      <c r="K15" s="12"/>
      <c r="L15" s="12"/>
      <c r="M15" s="13" t="str">
        <f aca="false">IF($A15="","",IFERROR(L15/$D15,""))</f>
        <v/>
      </c>
      <c r="N15" s="12"/>
      <c r="O15" s="12"/>
      <c r="P15" s="14" t="n">
        <f aca="false">IF($A15="","",SUM(L15,O15))</f>
        <v>0</v>
      </c>
    </row>
    <row r="16" customFormat="false" ht="23.85" hidden="false" customHeight="false" outlineLevel="0" collapsed="false">
      <c r="A16" s="11" t="s">
        <v>47</v>
      </c>
      <c r="B16" s="12" t="s">
        <v>23</v>
      </c>
      <c r="C16" s="12"/>
      <c r="D16" s="12"/>
      <c r="E16" s="12"/>
      <c r="F16" s="12"/>
      <c r="G16" s="13" t="str">
        <f aca="false">IF($A16="","",IFERROR(F16/$D16,""))</f>
        <v/>
      </c>
      <c r="H16" s="12"/>
      <c r="I16" s="12"/>
      <c r="J16" s="14" t="n">
        <f aca="false">IF($A16="","",SUM(F16,I16))</f>
        <v>0</v>
      </c>
      <c r="K16" s="12"/>
      <c r="L16" s="12"/>
      <c r="M16" s="13" t="str">
        <f aca="false">IF($A16="","",IFERROR(L16/$D16,""))</f>
        <v/>
      </c>
      <c r="N16" s="12"/>
      <c r="O16" s="12"/>
      <c r="P16" s="14" t="n">
        <f aca="false">IF($A16="","",SUM(L16,O16))</f>
        <v>0</v>
      </c>
    </row>
    <row r="17" customFormat="false" ht="15" hidden="false" customHeight="false" outlineLevel="0" collapsed="false">
      <c r="A17" s="11" t="s">
        <v>48</v>
      </c>
      <c r="B17" s="12" t="s">
        <v>23</v>
      </c>
      <c r="C17" s="12"/>
      <c r="D17" s="12"/>
      <c r="E17" s="12"/>
      <c r="F17" s="12"/>
      <c r="G17" s="13" t="str">
        <f aca="false">IF($A17="","",IFERROR(F17/$D17,""))</f>
        <v/>
      </c>
      <c r="H17" s="12"/>
      <c r="I17" s="12"/>
      <c r="J17" s="14" t="n">
        <f aca="false">IF($A17="","",SUM(F17,I17))</f>
        <v>0</v>
      </c>
      <c r="K17" s="12"/>
      <c r="L17" s="12"/>
      <c r="M17" s="13" t="str">
        <f aca="false">IF($A17="","",IFERROR(L17/$D17,""))</f>
        <v/>
      </c>
      <c r="N17" s="12"/>
      <c r="O17" s="12"/>
      <c r="P17" s="14" t="n">
        <f aca="false">IF($A17="","",SUM(L17,O17))</f>
        <v>0</v>
      </c>
    </row>
    <row r="18" customFormat="false" ht="15" hidden="false" customHeight="false" outlineLevel="0" collapsed="false">
      <c r="A18" s="11" t="s">
        <v>49</v>
      </c>
      <c r="B18" s="12" t="s">
        <v>23</v>
      </c>
      <c r="C18" s="12"/>
      <c r="D18" s="12"/>
      <c r="E18" s="12"/>
      <c r="F18" s="12"/>
      <c r="G18" s="13" t="str">
        <f aca="false">IF($A18="","",IFERROR(F18/$D18,""))</f>
        <v/>
      </c>
      <c r="H18" s="12"/>
      <c r="I18" s="12"/>
      <c r="J18" s="14" t="n">
        <f aca="false">IF($A18="","",SUM(F18,I18))</f>
        <v>0</v>
      </c>
      <c r="K18" s="12"/>
      <c r="L18" s="12"/>
      <c r="M18" s="13" t="str">
        <f aca="false">IF($A18="","",IFERROR(L18/$D18,""))</f>
        <v/>
      </c>
      <c r="N18" s="12"/>
      <c r="O18" s="12"/>
      <c r="P18" s="14" t="n">
        <f aca="false">IF($A18="","",SUM(L18,O18))</f>
        <v>0</v>
      </c>
    </row>
    <row r="19" customFormat="false" ht="15" hidden="false" customHeight="false" outlineLevel="0" collapsed="false">
      <c r="A19" s="11" t="s">
        <v>50</v>
      </c>
      <c r="B19" s="12" t="s">
        <v>51</v>
      </c>
      <c r="C19" s="12"/>
      <c r="D19" s="12"/>
      <c r="E19" s="12"/>
      <c r="F19" s="12"/>
      <c r="G19" s="13" t="str">
        <f aca="false">IF($A19="","",IFERROR(F19/$D19,""))</f>
        <v/>
      </c>
      <c r="H19" s="12"/>
      <c r="I19" s="12"/>
      <c r="J19" s="14" t="n">
        <f aca="false">IF($A19="","",SUM(F19,I19))</f>
        <v>0</v>
      </c>
      <c r="K19" s="12"/>
      <c r="L19" s="12"/>
      <c r="M19" s="13" t="str">
        <f aca="false">IF($A19="","",IFERROR(L19/$D19,""))</f>
        <v/>
      </c>
      <c r="N19" s="12"/>
      <c r="O19" s="12"/>
      <c r="P19" s="14" t="n">
        <f aca="false">IF($A19="","",SUM(L19,O19))</f>
        <v>0</v>
      </c>
    </row>
    <row r="20" customFormat="false" ht="15" hidden="false" customHeight="false" outlineLevel="0" collapsed="false">
      <c r="A20" s="11" t="s">
        <v>52</v>
      </c>
      <c r="B20" s="12" t="s">
        <v>51</v>
      </c>
      <c r="C20" s="12"/>
      <c r="D20" s="12"/>
      <c r="E20" s="12"/>
      <c r="F20" s="12"/>
      <c r="G20" s="13" t="str">
        <f aca="false">IF($A20="","",IFERROR(F20/$D20,""))</f>
        <v/>
      </c>
      <c r="H20" s="12"/>
      <c r="I20" s="12"/>
      <c r="J20" s="14" t="n">
        <f aca="false">IF($A20="","",SUM(F20,I20))</f>
        <v>0</v>
      </c>
      <c r="K20" s="12"/>
      <c r="L20" s="12"/>
      <c r="M20" s="13" t="str">
        <f aca="false">IF($A20="","",IFERROR(L20/$D20,""))</f>
        <v/>
      </c>
      <c r="N20" s="12"/>
      <c r="O20" s="12"/>
      <c r="P20" s="14" t="n">
        <f aca="false">IF($A20="","",SUM(L20,O20))</f>
        <v>0</v>
      </c>
    </row>
    <row r="21" customFormat="false" ht="15" hidden="false" customHeight="false" outlineLevel="0" collapsed="false">
      <c r="A21" s="11" t="s">
        <v>53</v>
      </c>
      <c r="B21" s="12" t="s">
        <v>51</v>
      </c>
      <c r="C21" s="12"/>
      <c r="D21" s="12"/>
      <c r="E21" s="12"/>
      <c r="F21" s="12"/>
      <c r="G21" s="13" t="str">
        <f aca="false">IF($A21="","",IFERROR(F21/$D21,""))</f>
        <v/>
      </c>
      <c r="H21" s="12"/>
      <c r="I21" s="12"/>
      <c r="J21" s="14" t="n">
        <f aca="false">IF($A21="","",SUM(F21,I21))</f>
        <v>0</v>
      </c>
      <c r="K21" s="12"/>
      <c r="L21" s="12"/>
      <c r="M21" s="13" t="str">
        <f aca="false">IF($A21="","",IFERROR(L21/$D21,""))</f>
        <v/>
      </c>
      <c r="N21" s="12"/>
      <c r="O21" s="12"/>
      <c r="P21" s="14" t="n">
        <f aca="false">IF($A21="","",SUM(L21,O21))</f>
        <v>0</v>
      </c>
    </row>
    <row r="22" customFormat="false" ht="15" hidden="false" customHeight="false" outlineLevel="0" collapsed="false">
      <c r="A22" s="11" t="s">
        <v>54</v>
      </c>
      <c r="B22" s="12" t="s">
        <v>51</v>
      </c>
      <c r="C22" s="12"/>
      <c r="D22" s="12"/>
      <c r="E22" s="12"/>
      <c r="F22" s="12"/>
      <c r="G22" s="13" t="str">
        <f aca="false">IF($A22="","",IFERROR(F22/$D22,""))</f>
        <v/>
      </c>
      <c r="H22" s="12"/>
      <c r="I22" s="12"/>
      <c r="J22" s="14" t="n">
        <f aca="false">IF($A22="","",SUM(F22,I22))</f>
        <v>0</v>
      </c>
      <c r="K22" s="12"/>
      <c r="L22" s="12"/>
      <c r="M22" s="13" t="str">
        <f aca="false">IF($A22="","",IFERROR(L22/$D22,""))</f>
        <v/>
      </c>
      <c r="N22" s="12"/>
      <c r="O22" s="12"/>
      <c r="P22" s="14" t="n">
        <f aca="false">IF($A22="","",SUM(L22,O22))</f>
        <v>0</v>
      </c>
    </row>
    <row r="23" customFormat="false" ht="15" hidden="false" customHeight="false" outlineLevel="0" collapsed="false">
      <c r="A23" s="11" t="s">
        <v>55</v>
      </c>
      <c r="B23" s="12" t="s">
        <v>51</v>
      </c>
      <c r="C23" s="12"/>
      <c r="D23" s="12"/>
      <c r="E23" s="12"/>
      <c r="F23" s="12"/>
      <c r="G23" s="13" t="str">
        <f aca="false">IF($A23="","",IFERROR(F23/$D23,""))</f>
        <v/>
      </c>
      <c r="H23" s="12"/>
      <c r="I23" s="12"/>
      <c r="J23" s="14" t="n">
        <f aca="false">IF($A23="","",SUM(F23,I23))</f>
        <v>0</v>
      </c>
      <c r="K23" s="12"/>
      <c r="L23" s="12"/>
      <c r="M23" s="13" t="str">
        <f aca="false">IF($A23="","",IFERROR(L23/$D23,""))</f>
        <v/>
      </c>
      <c r="N23" s="12"/>
      <c r="O23" s="12"/>
      <c r="P23" s="14" t="n">
        <f aca="false">IF($A23="","",SUM(L23,O23))</f>
        <v>0</v>
      </c>
    </row>
    <row r="24" customFormat="false" ht="15" hidden="false" customHeight="false" outlineLevel="0" collapsed="false">
      <c r="A24" s="11" t="s">
        <v>56</v>
      </c>
      <c r="B24" s="12" t="s">
        <v>51</v>
      </c>
      <c r="C24" s="12"/>
      <c r="D24" s="12"/>
      <c r="E24" s="12"/>
      <c r="F24" s="12"/>
      <c r="G24" s="13" t="str">
        <f aca="false">IF($A24="","",IFERROR(F24/$D24,""))</f>
        <v/>
      </c>
      <c r="H24" s="12"/>
      <c r="I24" s="12"/>
      <c r="J24" s="14" t="n">
        <f aca="false">IF($A24="","",SUM(F24,I24))</f>
        <v>0</v>
      </c>
      <c r="K24" s="12"/>
      <c r="L24" s="12"/>
      <c r="M24" s="13" t="str">
        <f aca="false">IF($A24="","",IFERROR(L24/$D24,""))</f>
        <v/>
      </c>
      <c r="N24" s="12"/>
      <c r="O24" s="12"/>
      <c r="P24" s="14" t="n">
        <f aca="false">IF($A24="","",SUM(L24,O24))</f>
        <v>0</v>
      </c>
    </row>
    <row r="25" customFormat="false" ht="15" hidden="false" customHeight="false" outlineLevel="0" collapsed="false">
      <c r="A25" s="11" t="s">
        <v>57</v>
      </c>
      <c r="B25" s="12" t="s">
        <v>51</v>
      </c>
      <c r="C25" s="12"/>
      <c r="D25" s="12"/>
      <c r="E25" s="12"/>
      <c r="F25" s="12"/>
      <c r="G25" s="13" t="str">
        <f aca="false">IF($A25="","",IFERROR(F25/$D25,""))</f>
        <v/>
      </c>
      <c r="H25" s="12"/>
      <c r="I25" s="12"/>
      <c r="J25" s="14" t="n">
        <f aca="false">IF($A25="","",SUM(F25,I25))</f>
        <v>0</v>
      </c>
      <c r="K25" s="12"/>
      <c r="L25" s="12"/>
      <c r="M25" s="13" t="str">
        <f aca="false">IF($A25="","",IFERROR(L25/$D25,""))</f>
        <v/>
      </c>
      <c r="N25" s="12"/>
      <c r="O25" s="12"/>
      <c r="P25" s="14" t="n">
        <f aca="false">IF($A25="","",SUM(L25,O25))</f>
        <v>0</v>
      </c>
    </row>
    <row r="26" customFormat="false" ht="15" hidden="false" customHeight="false" outlineLevel="0" collapsed="false">
      <c r="A26" s="11" t="s">
        <v>58</v>
      </c>
      <c r="B26" s="12" t="s">
        <v>51</v>
      </c>
      <c r="C26" s="12"/>
      <c r="D26" s="12"/>
      <c r="E26" s="12"/>
      <c r="F26" s="12"/>
      <c r="G26" s="13" t="str">
        <f aca="false">IF($A26="","",IFERROR(F26/$D26,""))</f>
        <v/>
      </c>
      <c r="H26" s="12"/>
      <c r="I26" s="12"/>
      <c r="J26" s="14" t="n">
        <f aca="false">IF($A26="","",SUM(F26,I26))</f>
        <v>0</v>
      </c>
      <c r="K26" s="12"/>
      <c r="L26" s="12"/>
      <c r="M26" s="13" t="str">
        <f aca="false">IF($A26="","",IFERROR(L26/$D26,""))</f>
        <v/>
      </c>
      <c r="N26" s="12"/>
      <c r="O26" s="12"/>
      <c r="P26" s="14" t="n">
        <f aca="false">IF($A26="","",SUM(L26,O26))</f>
        <v>0</v>
      </c>
    </row>
    <row r="27" customFormat="false" ht="15" hidden="false" customHeight="false" outlineLevel="0" collapsed="false">
      <c r="A27" s="11" t="s">
        <v>59</v>
      </c>
      <c r="B27" s="12" t="s">
        <v>51</v>
      </c>
      <c r="C27" s="12"/>
      <c r="D27" s="12"/>
      <c r="E27" s="12"/>
      <c r="F27" s="12"/>
      <c r="G27" s="13" t="str">
        <f aca="false">IF($A27="","",IFERROR(F27/$D27,""))</f>
        <v/>
      </c>
      <c r="H27" s="12"/>
      <c r="I27" s="12"/>
      <c r="J27" s="14" t="n">
        <f aca="false">IF($A27="","",SUM(F27,I27))</f>
        <v>0</v>
      </c>
      <c r="K27" s="12"/>
      <c r="L27" s="12"/>
      <c r="M27" s="13" t="str">
        <f aca="false">IF($A27="","",IFERROR(L27/$D27,""))</f>
        <v/>
      </c>
      <c r="N27" s="12"/>
      <c r="O27" s="12"/>
      <c r="P27" s="14" t="n">
        <f aca="false">IF($A27="","",SUM(L27,O27))</f>
        <v>0</v>
      </c>
    </row>
    <row r="28" customFormat="false" ht="15" hidden="false" customHeight="false" outlineLevel="0" collapsed="false">
      <c r="A28" s="11" t="s">
        <v>60</v>
      </c>
      <c r="B28" s="12" t="s">
        <v>51</v>
      </c>
      <c r="C28" s="12"/>
      <c r="D28" s="12"/>
      <c r="E28" s="12"/>
      <c r="F28" s="12"/>
      <c r="G28" s="13" t="str">
        <f aca="false">IF($A28="","",IFERROR(F28/$D28,""))</f>
        <v/>
      </c>
      <c r="H28" s="12"/>
      <c r="I28" s="12"/>
      <c r="J28" s="14" t="n">
        <f aca="false">IF($A28="","",SUM(F28,I28))</f>
        <v>0</v>
      </c>
      <c r="K28" s="12"/>
      <c r="L28" s="12"/>
      <c r="M28" s="13" t="str">
        <f aca="false">IF($A28="","",IFERROR(L28/$D28,""))</f>
        <v/>
      </c>
      <c r="N28" s="12"/>
      <c r="O28" s="12"/>
      <c r="P28" s="14" t="n">
        <f aca="false">IF($A28="","",SUM(L28,O28))</f>
        <v>0</v>
      </c>
    </row>
    <row r="29" customFormat="false" ht="15" hidden="false" customHeight="false" outlineLevel="0" collapsed="false">
      <c r="A29" s="11" t="s">
        <v>61</v>
      </c>
      <c r="B29" s="12" t="s">
        <v>51</v>
      </c>
      <c r="C29" s="12"/>
      <c r="D29" s="12"/>
      <c r="E29" s="12"/>
      <c r="F29" s="12"/>
      <c r="G29" s="13" t="str">
        <f aca="false">IF($A29="","",IFERROR(F29/$D29,""))</f>
        <v/>
      </c>
      <c r="H29" s="12"/>
      <c r="I29" s="12"/>
      <c r="J29" s="14" t="n">
        <f aca="false">IF($A29="","",SUM(F29,I29))</f>
        <v>0</v>
      </c>
      <c r="K29" s="12"/>
      <c r="L29" s="12"/>
      <c r="M29" s="13" t="str">
        <f aca="false">IF($A29="","",IFERROR(L29/$D29,""))</f>
        <v/>
      </c>
      <c r="N29" s="12"/>
      <c r="O29" s="12"/>
      <c r="P29" s="14" t="n">
        <f aca="false">IF($A29="","",SUM(L29,O29))</f>
        <v>0</v>
      </c>
    </row>
    <row r="30" customFormat="false" ht="15" hidden="false" customHeight="false" outlineLevel="0" collapsed="false">
      <c r="A30" s="11" t="s">
        <v>62</v>
      </c>
      <c r="B30" s="12" t="s">
        <v>51</v>
      </c>
      <c r="C30" s="12"/>
      <c r="D30" s="12"/>
      <c r="E30" s="12"/>
      <c r="F30" s="12"/>
      <c r="G30" s="13" t="str">
        <f aca="false">IF($A30="","",IFERROR(F30/$D30,""))</f>
        <v/>
      </c>
      <c r="H30" s="12"/>
      <c r="I30" s="12"/>
      <c r="J30" s="14" t="n">
        <f aca="false">IF($A30="","",SUM(F30,I30))</f>
        <v>0</v>
      </c>
      <c r="K30" s="12"/>
      <c r="L30" s="12"/>
      <c r="M30" s="13" t="str">
        <f aca="false">IF($A30="","",IFERROR(L30/$D30,""))</f>
        <v/>
      </c>
      <c r="N30" s="12"/>
      <c r="O30" s="12"/>
      <c r="P30" s="14" t="n">
        <f aca="false">IF($A30="","",SUM(L30,O30))</f>
        <v>0</v>
      </c>
    </row>
    <row r="31" customFormat="false" ht="23.85" hidden="false" customHeight="false" outlineLevel="0" collapsed="false">
      <c r="A31" s="11" t="s">
        <v>63</v>
      </c>
      <c r="B31" s="12" t="s">
        <v>51</v>
      </c>
      <c r="C31" s="12"/>
      <c r="D31" s="12"/>
      <c r="E31" s="12"/>
      <c r="F31" s="12"/>
      <c r="G31" s="13" t="str">
        <f aca="false">IF($A31="","",IFERROR(F31/$D31,""))</f>
        <v/>
      </c>
      <c r="H31" s="12"/>
      <c r="I31" s="12"/>
      <c r="J31" s="14" t="n">
        <f aca="false">IF($A31="","",SUM(F31,I31))</f>
        <v>0</v>
      </c>
      <c r="K31" s="12"/>
      <c r="L31" s="12"/>
      <c r="M31" s="13" t="str">
        <f aca="false">IF($A31="","",IFERROR(L31/$D31,""))</f>
        <v/>
      </c>
      <c r="N31" s="12"/>
      <c r="O31" s="12"/>
      <c r="P31" s="14" t="n">
        <f aca="false">IF($A31="","",SUM(L31,O31))</f>
        <v>0</v>
      </c>
    </row>
    <row r="32" customFormat="false" ht="15" hidden="false" customHeight="false" outlineLevel="0" collapsed="false">
      <c r="A32" s="11" t="s">
        <v>64</v>
      </c>
      <c r="B32" s="12" t="s">
        <v>51</v>
      </c>
      <c r="C32" s="12"/>
      <c r="D32" s="12"/>
      <c r="E32" s="12"/>
      <c r="F32" s="12"/>
      <c r="G32" s="13" t="str">
        <f aca="false">IF($A32="","",IFERROR(F32/$D32,""))</f>
        <v/>
      </c>
      <c r="H32" s="12"/>
      <c r="I32" s="12"/>
      <c r="J32" s="14" t="n">
        <f aca="false">IF($A32="","",SUM(F32,I32))</f>
        <v>0</v>
      </c>
      <c r="K32" s="12"/>
      <c r="L32" s="12"/>
      <c r="M32" s="13" t="str">
        <f aca="false">IF($A32="","",IFERROR(L32/$D32,""))</f>
        <v/>
      </c>
      <c r="N32" s="12"/>
      <c r="O32" s="12"/>
      <c r="P32" s="14" t="n">
        <f aca="false">IF($A32="","",SUM(L32,O32))</f>
        <v>0</v>
      </c>
    </row>
    <row r="33" customFormat="false" ht="15" hidden="false" customHeight="false" outlineLevel="0" collapsed="false">
      <c r="A33" s="11" t="s">
        <v>65</v>
      </c>
      <c r="B33" s="12" t="s">
        <v>51</v>
      </c>
      <c r="C33" s="12"/>
      <c r="D33" s="12"/>
      <c r="E33" s="12"/>
      <c r="F33" s="12"/>
      <c r="G33" s="13" t="str">
        <f aca="false">IF($A33="","",IFERROR(F33/$D33,""))</f>
        <v/>
      </c>
      <c r="H33" s="12"/>
      <c r="I33" s="12"/>
      <c r="J33" s="14" t="n">
        <f aca="false">IF($A33="","",SUM(F33,I33))</f>
        <v>0</v>
      </c>
      <c r="K33" s="12"/>
      <c r="L33" s="12"/>
      <c r="M33" s="13" t="str">
        <f aca="false">IF($A33="","",IFERROR(L33/$D33,""))</f>
        <v/>
      </c>
      <c r="N33" s="12"/>
      <c r="O33" s="12"/>
      <c r="P33" s="14" t="n">
        <f aca="false">IF($A33="","",SUM(L33,O33))</f>
        <v>0</v>
      </c>
    </row>
    <row r="34" customFormat="false" ht="15" hidden="false" customHeight="false" outlineLevel="0" collapsed="false">
      <c r="A34" s="11" t="s">
        <v>66</v>
      </c>
      <c r="B34" s="12" t="s">
        <v>51</v>
      </c>
      <c r="C34" s="12"/>
      <c r="D34" s="12"/>
      <c r="E34" s="12"/>
      <c r="F34" s="12"/>
      <c r="G34" s="13" t="str">
        <f aca="false">IF($A34="","",IFERROR(F34/$D34,""))</f>
        <v/>
      </c>
      <c r="H34" s="12"/>
      <c r="I34" s="12"/>
      <c r="J34" s="14" t="n">
        <f aca="false">IF($A34="","",SUM(F34,I34))</f>
        <v>0</v>
      </c>
      <c r="K34" s="12"/>
      <c r="L34" s="12"/>
      <c r="M34" s="13" t="str">
        <f aca="false">IF($A34="","",IFERROR(L34/$D34,""))</f>
        <v/>
      </c>
      <c r="N34" s="12"/>
      <c r="O34" s="12"/>
      <c r="P34" s="14" t="n">
        <f aca="false">IF($A34="","",SUM(L34,O34))</f>
        <v>0</v>
      </c>
    </row>
    <row r="35" customFormat="false" ht="15" hidden="false" customHeight="false" outlineLevel="0" collapsed="false">
      <c r="A35" s="11" t="s">
        <v>67</v>
      </c>
      <c r="B35" s="12" t="s">
        <v>51</v>
      </c>
      <c r="C35" s="12"/>
      <c r="D35" s="12"/>
      <c r="E35" s="12"/>
      <c r="F35" s="12"/>
      <c r="G35" s="13" t="str">
        <f aca="false">IF($A35="","",IFERROR(F35/$D35,""))</f>
        <v/>
      </c>
      <c r="H35" s="12"/>
      <c r="I35" s="12"/>
      <c r="J35" s="14" t="n">
        <f aca="false">IF($A35="","",SUM(F35,I35))</f>
        <v>0</v>
      </c>
      <c r="K35" s="12"/>
      <c r="L35" s="12"/>
      <c r="M35" s="13" t="str">
        <f aca="false">IF($A35="","",IFERROR(L35/$D35,""))</f>
        <v/>
      </c>
      <c r="N35" s="12"/>
      <c r="O35" s="12"/>
      <c r="P35" s="14" t="n">
        <f aca="false">IF($A35="","",SUM(L35,O35))</f>
        <v>0</v>
      </c>
    </row>
    <row r="36" customFormat="false" ht="15" hidden="false" customHeight="false" outlineLevel="0" collapsed="false">
      <c r="A36" s="11" t="s">
        <v>68</v>
      </c>
      <c r="B36" s="12" t="s">
        <v>69</v>
      </c>
      <c r="C36" s="12"/>
      <c r="D36" s="12"/>
      <c r="E36" s="12"/>
      <c r="F36" s="12"/>
      <c r="G36" s="13" t="str">
        <f aca="false">IF($A36="","",IFERROR(F36/$D36,""))</f>
        <v/>
      </c>
      <c r="H36" s="12"/>
      <c r="I36" s="12"/>
      <c r="J36" s="14" t="n">
        <f aca="false">IF($A36="","",SUM(F36,I36))</f>
        <v>0</v>
      </c>
      <c r="K36" s="12"/>
      <c r="L36" s="12"/>
      <c r="M36" s="13" t="str">
        <f aca="false">IF($A36="","",IFERROR(L36/$D36,""))</f>
        <v/>
      </c>
      <c r="N36" s="12"/>
      <c r="O36" s="12"/>
      <c r="P36" s="14" t="n">
        <f aca="false">IF($A36="","",SUM(L36,O36))</f>
        <v>0</v>
      </c>
    </row>
    <row r="37" customFormat="false" ht="15" hidden="false" customHeight="false" outlineLevel="0" collapsed="false">
      <c r="A37" s="11" t="s">
        <v>70</v>
      </c>
      <c r="B37" s="12" t="s">
        <v>69</v>
      </c>
      <c r="C37" s="12"/>
      <c r="D37" s="12"/>
      <c r="E37" s="12"/>
      <c r="F37" s="12"/>
      <c r="G37" s="13" t="str">
        <f aca="false">IF($A37="","",IFERROR(F37/$D37,""))</f>
        <v/>
      </c>
      <c r="H37" s="12"/>
      <c r="I37" s="12"/>
      <c r="J37" s="14" t="n">
        <f aca="false">IF($A37="","",SUM(F37,I37))</f>
        <v>0</v>
      </c>
      <c r="K37" s="12"/>
      <c r="L37" s="12"/>
      <c r="M37" s="13" t="str">
        <f aca="false">IF($A37="","",IFERROR(L37/$D37,""))</f>
        <v/>
      </c>
      <c r="N37" s="12"/>
      <c r="O37" s="12"/>
      <c r="P37" s="14" t="n">
        <f aca="false">IF($A37="","",SUM(L37,O37))</f>
        <v>0</v>
      </c>
    </row>
    <row r="38" customFormat="false" ht="23.85" hidden="false" customHeight="false" outlineLevel="0" collapsed="false">
      <c r="A38" s="11" t="s">
        <v>71</v>
      </c>
      <c r="B38" s="12" t="s">
        <v>72</v>
      </c>
      <c r="C38" s="12"/>
      <c r="D38" s="12"/>
      <c r="E38" s="12"/>
      <c r="F38" s="12"/>
      <c r="G38" s="13" t="str">
        <f aca="false">IF($A38="","",IFERROR(F38/$D38,""))</f>
        <v/>
      </c>
      <c r="H38" s="12"/>
      <c r="I38" s="12"/>
      <c r="J38" s="14" t="n">
        <f aca="false">IF($A38="","",SUM(F38,I38))</f>
        <v>0</v>
      </c>
      <c r="K38" s="12"/>
      <c r="L38" s="12"/>
      <c r="M38" s="13" t="str">
        <f aca="false">IF($A38="","",IFERROR(L38/$D38,""))</f>
        <v/>
      </c>
      <c r="N38" s="12"/>
      <c r="O38" s="12"/>
      <c r="P38" s="14" t="n">
        <f aca="false">IF($A38="","",SUM(L38,O38))</f>
        <v>0</v>
      </c>
    </row>
    <row r="39" customFormat="false" ht="15" hidden="false" customHeight="false" outlineLevel="0" collapsed="false">
      <c r="A39" s="11"/>
      <c r="B39" s="12"/>
      <c r="C39" s="12"/>
      <c r="D39" s="12"/>
      <c r="E39" s="12"/>
      <c r="F39" s="12"/>
      <c r="G39" s="13" t="str">
        <f aca="false">IF($A39="","",IFERROR(F39/$D39,""))</f>
        <v/>
      </c>
      <c r="H39" s="12"/>
      <c r="I39" s="12"/>
      <c r="J39" s="14" t="str">
        <f aca="false">IF($A39="","",SUM(F39,I39))</f>
        <v/>
      </c>
      <c r="K39" s="12"/>
      <c r="L39" s="12"/>
      <c r="M39" s="13" t="str">
        <f aca="false">IF($A39="","",IFERROR(L39/$D39,""))</f>
        <v/>
      </c>
      <c r="N39" s="12"/>
      <c r="O39" s="12"/>
      <c r="P39" s="14" t="str">
        <f aca="false">IF($A39="","",SUM(L39,O39))</f>
        <v/>
      </c>
    </row>
    <row r="40" customFormat="false" ht="15" hidden="false" customHeight="false" outlineLevel="0" collapsed="false">
      <c r="A40" s="11"/>
      <c r="B40" s="12"/>
      <c r="C40" s="12"/>
      <c r="D40" s="12"/>
      <c r="E40" s="12"/>
      <c r="F40" s="12"/>
      <c r="G40" s="13" t="str">
        <f aca="false">IF($A40="","",IFERROR(F40/$D40,""))</f>
        <v/>
      </c>
      <c r="H40" s="12"/>
      <c r="I40" s="12"/>
      <c r="J40" s="14" t="str">
        <f aca="false">IF($A40="","",SUM(F40,I40))</f>
        <v/>
      </c>
      <c r="K40" s="12"/>
      <c r="L40" s="12"/>
      <c r="M40" s="13" t="str">
        <f aca="false">IF($A40="","",IFERROR(L40/$D40,""))</f>
        <v/>
      </c>
      <c r="N40" s="12"/>
      <c r="O40" s="12"/>
      <c r="P40" s="14" t="str">
        <f aca="false">IF($A40="","",SUM(L40,O40))</f>
        <v/>
      </c>
    </row>
    <row r="41" customFormat="false" ht="15" hidden="false" customHeight="false" outlineLevel="0" collapsed="false">
      <c r="A41" s="11"/>
      <c r="B41" s="12"/>
      <c r="C41" s="12"/>
      <c r="D41" s="12"/>
      <c r="E41" s="12"/>
      <c r="F41" s="12"/>
      <c r="G41" s="13" t="str">
        <f aca="false">IF($A41="","",IFERROR(F41/$D41,""))</f>
        <v/>
      </c>
      <c r="H41" s="12"/>
      <c r="I41" s="12"/>
      <c r="J41" s="14" t="str">
        <f aca="false">IF($A41="","",SUM(F41,I41))</f>
        <v/>
      </c>
      <c r="K41" s="12"/>
      <c r="L41" s="12"/>
      <c r="M41" s="13" t="str">
        <f aca="false">IF($A41="","",IFERROR(L41/$D41,""))</f>
        <v/>
      </c>
      <c r="N41" s="12"/>
      <c r="O41" s="12"/>
      <c r="P41" s="14" t="str">
        <f aca="false">IF($A41="","",SUM(L41,O41))</f>
        <v/>
      </c>
    </row>
    <row r="42" customFormat="false" ht="15" hidden="false" customHeight="false" outlineLevel="0" collapsed="false">
      <c r="A42" s="11"/>
      <c r="B42" s="12"/>
      <c r="C42" s="12"/>
      <c r="D42" s="12"/>
      <c r="E42" s="12"/>
      <c r="F42" s="12"/>
      <c r="G42" s="13" t="str">
        <f aca="false">IF($A42="","",IFERROR(F42/$D42,""))</f>
        <v/>
      </c>
      <c r="H42" s="12"/>
      <c r="I42" s="12"/>
      <c r="J42" s="14" t="str">
        <f aca="false">IF($A42="","",SUM(F42,I42))</f>
        <v/>
      </c>
      <c r="K42" s="12"/>
      <c r="L42" s="12"/>
      <c r="M42" s="13" t="str">
        <f aca="false">IF($A42="","",IFERROR(L42/$D42,""))</f>
        <v/>
      </c>
      <c r="N42" s="12"/>
      <c r="O42" s="12"/>
      <c r="P42" s="14" t="str">
        <f aca="false">IF($A42="","",SUM(L42,O42))</f>
        <v/>
      </c>
    </row>
    <row r="43" customFormat="false" ht="15" hidden="false" customHeight="false" outlineLevel="0" collapsed="false">
      <c r="A43" s="15" t="s">
        <v>73</v>
      </c>
      <c r="B43" s="16"/>
      <c r="C43" s="16" t="n">
        <f aca="false">SUMIFS(C$3:C$42,$B$3:$B$42,"ERPI")</f>
        <v>0</v>
      </c>
      <c r="D43" s="16" t="n">
        <f aca="false">SUMIFS(D$3:D$42,$B$3:$B$42,"ERPI")</f>
        <v>0</v>
      </c>
      <c r="E43" s="16" t="n">
        <f aca="false">SUMIFS(E$3:E$42,$B$3:$B$42,"ERPI")</f>
        <v>0</v>
      </c>
      <c r="F43" s="16" t="n">
        <f aca="false">SUMIFS(F$3:F$42,$B$3:$B$42,"ERPI")</f>
        <v>0</v>
      </c>
      <c r="G43" s="17" t="str">
        <f aca="false">IFERROR(F43/D43,"")</f>
        <v/>
      </c>
      <c r="H43" s="16" t="n">
        <f aca="false">SUMIFS(H$3:H$42,$B$3:$B$42,"ERPI")</f>
        <v>0</v>
      </c>
      <c r="I43" s="16" t="n">
        <f aca="false">SUMIFS(I$3:I$42,$B$3:$B$42,"ERPI")</f>
        <v>0</v>
      </c>
      <c r="J43" s="16" t="n">
        <f aca="false">SUM(F43,I43)</f>
        <v>0</v>
      </c>
      <c r="K43" s="16" t="n">
        <f aca="false">SUMIFS(K$3:K$42,$B$3:$B$42,"ERPI")</f>
        <v>0</v>
      </c>
      <c r="L43" s="16" t="n">
        <f aca="false">SUMIFS(L$3:L$42,$B$3:$B$42,"ERPI")</f>
        <v>0</v>
      </c>
      <c r="M43" s="17" t="str">
        <f aca="false">IFERROR(L43/D43,"")</f>
        <v/>
      </c>
      <c r="N43" s="16" t="n">
        <f aca="false">SUMIFS(N$3:N$42,$B$3:$B$42,"ERPI")</f>
        <v>0</v>
      </c>
      <c r="O43" s="16" t="n">
        <f aca="false">SUMIFS(O$3:O$42,$B$3:$B$42,"ERPI")</f>
        <v>0</v>
      </c>
      <c r="P43" s="16" t="n">
        <f aca="false">SUM(L43,O43)</f>
        <v>0</v>
      </c>
    </row>
    <row r="44" customFormat="false" ht="15" hidden="false" customHeight="false" outlineLevel="0" collapsed="false">
      <c r="A44" s="18" t="s">
        <v>74</v>
      </c>
      <c r="B44" s="19"/>
      <c r="C44" s="19" t="n">
        <f aca="false">C45-C43</f>
        <v>0</v>
      </c>
      <c r="D44" s="19" t="n">
        <f aca="false">D45-D43</f>
        <v>0</v>
      </c>
      <c r="E44" s="19" t="n">
        <f aca="false">E45-E43</f>
        <v>0</v>
      </c>
      <c r="F44" s="19" t="n">
        <f aca="false">F45-F43</f>
        <v>0</v>
      </c>
      <c r="G44" s="20" t="str">
        <f aca="false">IFERROR(F44/D44,"")</f>
        <v/>
      </c>
      <c r="H44" s="19" t="n">
        <f aca="false">H45-H43</f>
        <v>0</v>
      </c>
      <c r="I44" s="19" t="n">
        <f aca="false">I45-I43</f>
        <v>0</v>
      </c>
      <c r="J44" s="19" t="n">
        <f aca="false">SUM(F44,I44)</f>
        <v>0</v>
      </c>
      <c r="K44" s="19" t="n">
        <f aca="false">K45-K43</f>
        <v>0</v>
      </c>
      <c r="L44" s="19" t="n">
        <f aca="false">L45-L43</f>
        <v>0</v>
      </c>
      <c r="M44" s="20" t="str">
        <f aca="false">IFERROR(L44/D44,"")</f>
        <v/>
      </c>
      <c r="N44" s="19" t="n">
        <f aca="false">N45-N43</f>
        <v>0</v>
      </c>
      <c r="O44" s="19" t="n">
        <f aca="false">O45-O43</f>
        <v>0</v>
      </c>
      <c r="P44" s="19" t="n">
        <f aca="false">SUM(L44,O44)</f>
        <v>0</v>
      </c>
    </row>
    <row r="45" customFormat="false" ht="15" hidden="false" customHeight="false" outlineLevel="0" collapsed="false">
      <c r="A45" s="21" t="s">
        <v>75</v>
      </c>
      <c r="B45" s="22"/>
      <c r="C45" s="22" t="n">
        <f aca="false">SUM(C$3:C$42)</f>
        <v>0</v>
      </c>
      <c r="D45" s="22" t="n">
        <f aca="false">SUM(D$3:D$42)</f>
        <v>0</v>
      </c>
      <c r="E45" s="22" t="n">
        <f aca="false">SUM(E$3:E$42)</f>
        <v>0</v>
      </c>
      <c r="F45" s="22" t="n">
        <f aca="false">SUM(F$3:F$42)</f>
        <v>0</v>
      </c>
      <c r="G45" s="23" t="str">
        <f aca="false">IFERROR(F45/D45,"")</f>
        <v/>
      </c>
      <c r="H45" s="22" t="n">
        <f aca="false">SUM(H$3:H$42)</f>
        <v>0</v>
      </c>
      <c r="I45" s="22" t="n">
        <f aca="false">SUM(I$3:I$42)</f>
        <v>0</v>
      </c>
      <c r="J45" s="22" t="n">
        <f aca="false">SUM(F45,I45)</f>
        <v>0</v>
      </c>
      <c r="K45" s="22" t="n">
        <f aca="false">SUM(K$3:K$42)</f>
        <v>0</v>
      </c>
      <c r="L45" s="22" t="n">
        <f aca="false">SUM(L$3:L$42)</f>
        <v>0</v>
      </c>
      <c r="M45" s="23" t="str">
        <f aca="false">IFERROR(L45/D45,"")</f>
        <v/>
      </c>
      <c r="N45" s="22" t="n">
        <f aca="false">SUM(N$3:N$42)</f>
        <v>0</v>
      </c>
      <c r="O45" s="22" t="n">
        <f aca="false">SUM(O$3:O$42)</f>
        <v>0</v>
      </c>
      <c r="P45" s="22" t="n">
        <f aca="false">SUM(L45,O45)</f>
        <v>0</v>
      </c>
    </row>
  </sheetData>
  <sheetProtection sheet="true" formatColumns="false" formatRows="false"/>
  <mergeCells count="2">
    <mergeCell ref="E1:J1"/>
    <mergeCell ref="K1:P1"/>
  </mergeCells>
  <conditionalFormatting sqref="B3:B42">
    <cfRule type="expression" priority="2" aboveAverage="0" equalAverage="0" bottom="0" percent="0" rank="0" text="" dxfId="0">
      <formula>AND($A3&lt;&gt;"",$B3="")</formula>
    </cfRule>
  </conditionalFormatting>
  <conditionalFormatting sqref="E3:E42">
    <cfRule type="expression" priority="3" aboveAverage="0" equalAverage="0" bottom="0" percent="0" rank="0" text="" dxfId="0">
      <formula>AND(E3&lt;&gt;"",E3&gt;$D3)</formula>
    </cfRule>
  </conditionalFormatting>
  <conditionalFormatting sqref="F3:F42">
    <cfRule type="expression" priority="4" aboveAverage="0" equalAverage="0" bottom="0" percent="0" rank="0" text="" dxfId="0">
      <formula>AND(F3&lt;&gt;"",F3&gt;$D3)</formula>
    </cfRule>
  </conditionalFormatting>
  <conditionalFormatting sqref="H3:H42">
    <cfRule type="expression" priority="5" aboveAverage="0" equalAverage="0" bottom="0" percent="0" rank="0" text="" dxfId="0">
      <formula>AND(H3&lt;&gt;"",H3&gt;$C3)</formula>
    </cfRule>
  </conditionalFormatting>
  <conditionalFormatting sqref="I3:I42">
    <cfRule type="expression" priority="6" aboveAverage="0" equalAverage="0" bottom="0" percent="0" rank="0" text="" dxfId="0">
      <formula>AND(I3&lt;&gt;"",I3&gt;$C3)</formula>
    </cfRule>
  </conditionalFormatting>
  <conditionalFormatting sqref="K3:K42">
    <cfRule type="expression" priority="7" aboveAverage="0" equalAverage="0" bottom="0" percent="0" rank="0" text="" dxfId="0">
      <formula>AND(K3&lt;&gt;"",K3&gt;$D3)</formula>
    </cfRule>
  </conditionalFormatting>
  <conditionalFormatting sqref="L3:L42">
    <cfRule type="expression" priority="8" aboveAverage="0" equalAverage="0" bottom="0" percent="0" rank="0" text="" dxfId="0">
      <formula>AND(L3&lt;&gt;"",L3&gt;$D3)</formula>
    </cfRule>
  </conditionalFormatting>
  <conditionalFormatting sqref="N3:N42">
    <cfRule type="expression" priority="9" aboveAverage="0" equalAverage="0" bottom="0" percent="0" rank="0" text="" dxfId="0">
      <formula>AND(N3&lt;&gt;"",N3&gt;$C3)</formula>
    </cfRule>
  </conditionalFormatting>
  <conditionalFormatting sqref="O3:O42">
    <cfRule type="expression" priority="10" aboveAverage="0" equalAverage="0" bottom="0" percent="0" rank="0" text="" dxfId="0">
      <formula>AND(O3&lt;&gt;"",O3&gt;$C3)</formula>
    </cfRule>
  </conditionalFormatting>
  <dataValidations count="1">
    <dataValidation allowBlank="true" error="Escolher: ERPI, CD, Lar Residencial ou UCCI" errorStyle="stop" errorTitle="Tipologia inválida" operator="between" showDropDown="false" showErrorMessage="true" showInputMessage="false" sqref="B3:B42" type="list">
      <formula1>"ERPI,CD,Lar Residencial,UCCI"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5"/>
    <col collapsed="false" customWidth="true" hidden="false" outlineLevel="0" max="16" min="3" style="0" width="13"/>
  </cols>
  <sheetData>
    <row r="1" customFormat="false" ht="15" hidden="false" customHeight="true" outlineLevel="0" collapsed="false">
      <c r="E1" s="7" t="s">
        <v>24</v>
      </c>
      <c r="F1" s="7"/>
      <c r="G1" s="7"/>
      <c r="H1" s="7"/>
      <c r="I1" s="7"/>
      <c r="J1" s="7"/>
      <c r="K1" s="8" t="s">
        <v>25</v>
      </c>
      <c r="L1" s="8"/>
      <c r="M1" s="8"/>
      <c r="N1" s="8"/>
      <c r="O1" s="8"/>
      <c r="P1" s="8"/>
    </row>
    <row r="2" customFormat="false" ht="35.05" hidden="false" customHeight="false" outlineLevel="0" collapsed="false">
      <c r="A2" s="4" t="s">
        <v>26</v>
      </c>
      <c r="B2" s="4" t="s">
        <v>17</v>
      </c>
      <c r="C2" s="4" t="s">
        <v>27</v>
      </c>
      <c r="D2" s="4" t="s">
        <v>19</v>
      </c>
      <c r="E2" s="9" t="s">
        <v>28</v>
      </c>
      <c r="F2" s="9" t="s">
        <v>29</v>
      </c>
      <c r="G2" s="9" t="s">
        <v>30</v>
      </c>
      <c r="H2" s="9" t="s">
        <v>31</v>
      </c>
      <c r="I2" s="9" t="s">
        <v>32</v>
      </c>
      <c r="J2" s="9" t="s">
        <v>33</v>
      </c>
      <c r="K2" s="10" t="s">
        <v>28</v>
      </c>
      <c r="L2" s="10" t="s">
        <v>29</v>
      </c>
      <c r="M2" s="10" t="s">
        <v>30</v>
      </c>
      <c r="N2" s="10" t="s">
        <v>31</v>
      </c>
      <c r="O2" s="10" t="s">
        <v>32</v>
      </c>
      <c r="P2" s="10" t="s">
        <v>33</v>
      </c>
    </row>
    <row r="3" customFormat="false" ht="15" hidden="false" customHeight="false" outlineLevel="0" collapsed="false">
      <c r="A3" s="11" t="s">
        <v>76</v>
      </c>
      <c r="B3" s="12" t="s">
        <v>23</v>
      </c>
      <c r="C3" s="12"/>
      <c r="D3" s="12"/>
      <c r="E3" s="12"/>
      <c r="F3" s="12"/>
      <c r="G3" s="13" t="str">
        <f aca="false">IF($A3="","",IFERROR(F3/$D3,""))</f>
        <v/>
      </c>
      <c r="H3" s="12"/>
      <c r="I3" s="12"/>
      <c r="J3" s="14" t="n">
        <f aca="false">IF($A3="","",SUM(F3,I3))</f>
        <v>0</v>
      </c>
      <c r="K3" s="12"/>
      <c r="L3" s="12"/>
      <c r="M3" s="13" t="str">
        <f aca="false">IF($A3="","",IFERROR(L3/$D3,""))</f>
        <v/>
      </c>
      <c r="N3" s="12"/>
      <c r="O3" s="12"/>
      <c r="P3" s="14" t="n">
        <f aca="false">IF($A3="","",SUM(L3,O3))</f>
        <v>0</v>
      </c>
    </row>
    <row r="4" customFormat="false" ht="15" hidden="false" customHeight="false" outlineLevel="0" collapsed="false">
      <c r="A4" s="11" t="s">
        <v>77</v>
      </c>
      <c r="B4" s="12" t="s">
        <v>23</v>
      </c>
      <c r="C4" s="12"/>
      <c r="D4" s="12"/>
      <c r="E4" s="12"/>
      <c r="F4" s="12"/>
      <c r="G4" s="13" t="str">
        <f aca="false">IF($A4="","",IFERROR(F4/$D4,""))</f>
        <v/>
      </c>
      <c r="H4" s="12"/>
      <c r="I4" s="12"/>
      <c r="J4" s="14" t="n">
        <f aca="false">IF($A4="","",SUM(F4,I4))</f>
        <v>0</v>
      </c>
      <c r="K4" s="12"/>
      <c r="L4" s="12"/>
      <c r="M4" s="13" t="str">
        <f aca="false">IF($A4="","",IFERROR(L4/$D4,""))</f>
        <v/>
      </c>
      <c r="N4" s="12"/>
      <c r="O4" s="12"/>
      <c r="P4" s="14" t="n">
        <f aca="false">IF($A4="","",SUM(L4,O4))</f>
        <v>0</v>
      </c>
    </row>
    <row r="5" customFormat="false" ht="15" hidden="false" customHeight="false" outlineLevel="0" collapsed="false">
      <c r="A5" s="11" t="s">
        <v>78</v>
      </c>
      <c r="B5" s="12" t="s">
        <v>23</v>
      </c>
      <c r="C5" s="12"/>
      <c r="D5" s="12"/>
      <c r="E5" s="12"/>
      <c r="F5" s="12"/>
      <c r="G5" s="13" t="str">
        <f aca="false">IF($A5="","",IFERROR(F5/$D5,""))</f>
        <v/>
      </c>
      <c r="H5" s="12"/>
      <c r="I5" s="12"/>
      <c r="J5" s="14" t="n">
        <f aca="false">IF($A5="","",SUM(F5,I5))</f>
        <v>0</v>
      </c>
      <c r="K5" s="12"/>
      <c r="L5" s="12"/>
      <c r="M5" s="13" t="str">
        <f aca="false">IF($A5="","",IFERROR(L5/$D5,""))</f>
        <v/>
      </c>
      <c r="N5" s="12"/>
      <c r="O5" s="12"/>
      <c r="P5" s="14" t="n">
        <f aca="false">IF($A5="","",SUM(L5,O5))</f>
        <v>0</v>
      </c>
    </row>
    <row r="6" customFormat="false" ht="15" hidden="false" customHeight="false" outlineLevel="0" collapsed="false">
      <c r="A6" s="11" t="s">
        <v>79</v>
      </c>
      <c r="B6" s="12" t="s">
        <v>23</v>
      </c>
      <c r="C6" s="12"/>
      <c r="D6" s="12"/>
      <c r="E6" s="12"/>
      <c r="F6" s="12"/>
      <c r="G6" s="13" t="str">
        <f aca="false">IF($A6="","",IFERROR(F6/$D6,""))</f>
        <v/>
      </c>
      <c r="H6" s="12"/>
      <c r="I6" s="12"/>
      <c r="J6" s="14" t="n">
        <f aca="false">IF($A6="","",SUM(F6,I6))</f>
        <v>0</v>
      </c>
      <c r="K6" s="12"/>
      <c r="L6" s="12"/>
      <c r="M6" s="13" t="str">
        <f aca="false">IF($A6="","",IFERROR(L6/$D6,""))</f>
        <v/>
      </c>
      <c r="N6" s="12"/>
      <c r="O6" s="12"/>
      <c r="P6" s="14" t="n">
        <f aca="false">IF($A6="","",SUM(L6,O6))</f>
        <v>0</v>
      </c>
    </row>
    <row r="7" customFormat="false" ht="15" hidden="false" customHeight="false" outlineLevel="0" collapsed="false">
      <c r="A7" s="11" t="s">
        <v>80</v>
      </c>
      <c r="B7" s="12" t="s">
        <v>23</v>
      </c>
      <c r="C7" s="12"/>
      <c r="D7" s="12"/>
      <c r="E7" s="12"/>
      <c r="F7" s="12"/>
      <c r="G7" s="13" t="str">
        <f aca="false">IF($A7="","",IFERROR(F7/$D7,""))</f>
        <v/>
      </c>
      <c r="H7" s="12"/>
      <c r="I7" s="12"/>
      <c r="J7" s="14" t="n">
        <f aca="false">IF($A7="","",SUM(F7,I7))</f>
        <v>0</v>
      </c>
      <c r="K7" s="12"/>
      <c r="L7" s="12"/>
      <c r="M7" s="13" t="str">
        <f aca="false">IF($A7="","",IFERROR(L7/$D7,""))</f>
        <v/>
      </c>
      <c r="N7" s="12"/>
      <c r="O7" s="12"/>
      <c r="P7" s="14" t="n">
        <f aca="false">IF($A7="","",SUM(L7,O7))</f>
        <v>0</v>
      </c>
    </row>
    <row r="8" customFormat="false" ht="15" hidden="false" customHeight="false" outlineLevel="0" collapsed="false">
      <c r="A8" s="11" t="s">
        <v>81</v>
      </c>
      <c r="B8" s="12" t="s">
        <v>23</v>
      </c>
      <c r="C8" s="12"/>
      <c r="D8" s="12"/>
      <c r="E8" s="12"/>
      <c r="F8" s="12"/>
      <c r="G8" s="13" t="str">
        <f aca="false">IF($A8="","",IFERROR(F8/$D8,""))</f>
        <v/>
      </c>
      <c r="H8" s="12"/>
      <c r="I8" s="12"/>
      <c r="J8" s="14" t="n">
        <f aca="false">IF($A8="","",SUM(F8,I8))</f>
        <v>0</v>
      </c>
      <c r="K8" s="12"/>
      <c r="L8" s="12"/>
      <c r="M8" s="13" t="str">
        <f aca="false">IF($A8="","",IFERROR(L8/$D8,""))</f>
        <v/>
      </c>
      <c r="N8" s="12"/>
      <c r="O8" s="12"/>
      <c r="P8" s="14" t="n">
        <f aca="false">IF($A8="","",SUM(L8,O8))</f>
        <v>0</v>
      </c>
    </row>
    <row r="9" customFormat="false" ht="15" hidden="false" customHeight="false" outlineLevel="0" collapsed="false">
      <c r="A9" s="11" t="s">
        <v>82</v>
      </c>
      <c r="B9" s="12" t="s">
        <v>51</v>
      </c>
      <c r="C9" s="12"/>
      <c r="D9" s="12"/>
      <c r="E9" s="12"/>
      <c r="F9" s="12"/>
      <c r="G9" s="13" t="str">
        <f aca="false">IF($A9="","",IFERROR(F9/$D9,""))</f>
        <v/>
      </c>
      <c r="H9" s="12"/>
      <c r="I9" s="12"/>
      <c r="J9" s="14" t="n">
        <f aca="false">IF($A9="","",SUM(F9,I9))</f>
        <v>0</v>
      </c>
      <c r="K9" s="12"/>
      <c r="L9" s="12"/>
      <c r="M9" s="13" t="str">
        <f aca="false">IF($A9="","",IFERROR(L9/$D9,""))</f>
        <v/>
      </c>
      <c r="N9" s="12"/>
      <c r="O9" s="12"/>
      <c r="P9" s="14" t="n">
        <f aca="false">IF($A9="","",SUM(L9,O9))</f>
        <v>0</v>
      </c>
    </row>
    <row r="10" customFormat="false" ht="15" hidden="false" customHeight="false" outlineLevel="0" collapsed="false">
      <c r="A10" s="11" t="s">
        <v>83</v>
      </c>
      <c r="B10" s="12" t="s">
        <v>51</v>
      </c>
      <c r="C10" s="12"/>
      <c r="D10" s="12"/>
      <c r="E10" s="12"/>
      <c r="F10" s="12"/>
      <c r="G10" s="13" t="str">
        <f aca="false">IF($A10="","",IFERROR(F10/$D10,""))</f>
        <v/>
      </c>
      <c r="H10" s="12"/>
      <c r="I10" s="12"/>
      <c r="J10" s="14" t="n">
        <f aca="false">IF($A10="","",SUM(F10,I10))</f>
        <v>0</v>
      </c>
      <c r="K10" s="12"/>
      <c r="L10" s="12"/>
      <c r="M10" s="13" t="str">
        <f aca="false">IF($A10="","",IFERROR(L10/$D10,""))</f>
        <v/>
      </c>
      <c r="N10" s="12"/>
      <c r="O10" s="12"/>
      <c r="P10" s="14" t="n">
        <f aca="false">IF($A10="","",SUM(L10,O10))</f>
        <v>0</v>
      </c>
    </row>
    <row r="11" customFormat="false" ht="15" hidden="false" customHeight="false" outlineLevel="0" collapsed="false">
      <c r="A11" s="11" t="s">
        <v>84</v>
      </c>
      <c r="B11" s="12" t="s">
        <v>51</v>
      </c>
      <c r="C11" s="12"/>
      <c r="D11" s="12"/>
      <c r="E11" s="12"/>
      <c r="F11" s="12"/>
      <c r="G11" s="13" t="str">
        <f aca="false">IF($A11="","",IFERROR(F11/$D11,""))</f>
        <v/>
      </c>
      <c r="H11" s="12"/>
      <c r="I11" s="12"/>
      <c r="J11" s="14" t="n">
        <f aca="false">IF($A11="","",SUM(F11,I11))</f>
        <v>0</v>
      </c>
      <c r="K11" s="12"/>
      <c r="L11" s="12"/>
      <c r="M11" s="13" t="str">
        <f aca="false">IF($A11="","",IFERROR(L11/$D11,""))</f>
        <v/>
      </c>
      <c r="N11" s="12"/>
      <c r="O11" s="12"/>
      <c r="P11" s="14" t="n">
        <f aca="false">IF($A11="","",SUM(L11,O11))</f>
        <v>0</v>
      </c>
    </row>
    <row r="12" customFormat="false" ht="15" hidden="false" customHeight="false" outlineLevel="0" collapsed="false">
      <c r="A12" s="11" t="s">
        <v>85</v>
      </c>
      <c r="B12" s="12" t="s">
        <v>51</v>
      </c>
      <c r="C12" s="12"/>
      <c r="D12" s="12"/>
      <c r="E12" s="12"/>
      <c r="F12" s="12"/>
      <c r="G12" s="13" t="str">
        <f aca="false">IF($A12="","",IFERROR(F12/$D12,""))</f>
        <v/>
      </c>
      <c r="H12" s="12"/>
      <c r="I12" s="12"/>
      <c r="J12" s="14" t="n">
        <f aca="false">IF($A12="","",SUM(F12,I12))</f>
        <v>0</v>
      </c>
      <c r="K12" s="12"/>
      <c r="L12" s="12"/>
      <c r="M12" s="13" t="str">
        <f aca="false">IF($A12="","",IFERROR(L12/$D12,""))</f>
        <v/>
      </c>
      <c r="N12" s="12"/>
      <c r="O12" s="12"/>
      <c r="P12" s="14" t="n">
        <f aca="false">IF($A12="","",SUM(L12,O12))</f>
        <v>0</v>
      </c>
    </row>
    <row r="13" customFormat="false" ht="15" hidden="false" customHeight="false" outlineLevel="0" collapsed="false">
      <c r="A13" s="11" t="s">
        <v>86</v>
      </c>
      <c r="B13" s="12" t="s">
        <v>51</v>
      </c>
      <c r="C13" s="12"/>
      <c r="D13" s="12"/>
      <c r="E13" s="12"/>
      <c r="F13" s="12"/>
      <c r="G13" s="13" t="str">
        <f aca="false">IF($A13="","",IFERROR(F13/$D13,""))</f>
        <v/>
      </c>
      <c r="H13" s="12"/>
      <c r="I13" s="12"/>
      <c r="J13" s="14" t="n">
        <f aca="false">IF($A13="","",SUM(F13,I13))</f>
        <v>0</v>
      </c>
      <c r="K13" s="12"/>
      <c r="L13" s="12"/>
      <c r="M13" s="13" t="str">
        <f aca="false">IF($A13="","",IFERROR(L13/$D13,""))</f>
        <v/>
      </c>
      <c r="N13" s="12"/>
      <c r="O13" s="12"/>
      <c r="P13" s="14" t="n">
        <f aca="false">IF($A13="","",SUM(L13,O13))</f>
        <v>0</v>
      </c>
    </row>
    <row r="14" customFormat="false" ht="15" hidden="false" customHeight="false" outlineLevel="0" collapsed="false">
      <c r="A14" s="11" t="s">
        <v>87</v>
      </c>
      <c r="B14" s="12" t="s">
        <v>69</v>
      </c>
      <c r="C14" s="12"/>
      <c r="D14" s="12"/>
      <c r="E14" s="12"/>
      <c r="F14" s="12"/>
      <c r="G14" s="13" t="str">
        <f aca="false">IF($A14="","",IFERROR(F14/$D14,""))</f>
        <v/>
      </c>
      <c r="H14" s="12"/>
      <c r="I14" s="12"/>
      <c r="J14" s="14" t="n">
        <f aca="false">IF($A14="","",SUM(F14,I14))</f>
        <v>0</v>
      </c>
      <c r="K14" s="12"/>
      <c r="L14" s="12"/>
      <c r="M14" s="13" t="str">
        <f aca="false">IF($A14="","",IFERROR(L14/$D14,""))</f>
        <v/>
      </c>
      <c r="N14" s="12"/>
      <c r="O14" s="12"/>
      <c r="P14" s="14" t="n">
        <f aca="false">IF($A14="","",SUM(L14,O14))</f>
        <v>0</v>
      </c>
    </row>
    <row r="15" customFormat="false" ht="15" hidden="false" customHeight="false" outlineLevel="0" collapsed="false">
      <c r="A15" s="11" t="s">
        <v>88</v>
      </c>
      <c r="B15" s="12" t="s">
        <v>69</v>
      </c>
      <c r="C15" s="12"/>
      <c r="D15" s="12"/>
      <c r="E15" s="12"/>
      <c r="F15" s="12"/>
      <c r="G15" s="13" t="str">
        <f aca="false">IF($A15="","",IFERROR(F15/$D15,""))</f>
        <v/>
      </c>
      <c r="H15" s="12"/>
      <c r="I15" s="12"/>
      <c r="J15" s="14" t="n">
        <f aca="false">IF($A15="","",SUM(F15,I15))</f>
        <v>0</v>
      </c>
      <c r="K15" s="12"/>
      <c r="L15" s="12"/>
      <c r="M15" s="13" t="str">
        <f aca="false">IF($A15="","",IFERROR(L15/$D15,""))</f>
        <v/>
      </c>
      <c r="N15" s="12"/>
      <c r="O15" s="12"/>
      <c r="P15" s="14" t="n">
        <f aca="false">IF($A15="","",SUM(L15,O15))</f>
        <v>0</v>
      </c>
    </row>
    <row r="16" customFormat="false" ht="15" hidden="false" customHeight="false" outlineLevel="0" collapsed="false">
      <c r="A16" s="11" t="s">
        <v>89</v>
      </c>
      <c r="B16" s="12" t="s">
        <v>72</v>
      </c>
      <c r="C16" s="12"/>
      <c r="D16" s="12"/>
      <c r="E16" s="12"/>
      <c r="F16" s="12"/>
      <c r="G16" s="13" t="str">
        <f aca="false">IF($A16="","",IFERROR(F16/$D16,""))</f>
        <v/>
      </c>
      <c r="H16" s="12"/>
      <c r="I16" s="12"/>
      <c r="J16" s="14" t="n">
        <f aca="false">IF($A16="","",SUM(F16,I16))</f>
        <v>0</v>
      </c>
      <c r="K16" s="12"/>
      <c r="L16" s="12"/>
      <c r="M16" s="13" t="str">
        <f aca="false">IF($A16="","",IFERROR(L16/$D16,""))</f>
        <v/>
      </c>
      <c r="N16" s="12"/>
      <c r="O16" s="12"/>
      <c r="P16" s="14" t="n">
        <f aca="false">IF($A16="","",SUM(L16,O16))</f>
        <v>0</v>
      </c>
    </row>
    <row r="17" customFormat="false" ht="15" hidden="false" customHeight="false" outlineLevel="0" collapsed="false">
      <c r="A17" s="11"/>
      <c r="B17" s="12"/>
      <c r="C17" s="12"/>
      <c r="D17" s="12"/>
      <c r="E17" s="12"/>
      <c r="F17" s="12"/>
      <c r="G17" s="13" t="str">
        <f aca="false">IF($A17="","",IFERROR(F17/$D17,""))</f>
        <v/>
      </c>
      <c r="H17" s="12"/>
      <c r="I17" s="12"/>
      <c r="J17" s="14" t="str">
        <f aca="false">IF($A17="","",SUM(F17,I17))</f>
        <v/>
      </c>
      <c r="K17" s="12"/>
      <c r="L17" s="12"/>
      <c r="M17" s="13" t="str">
        <f aca="false">IF($A17="","",IFERROR(L17/$D17,""))</f>
        <v/>
      </c>
      <c r="N17" s="12"/>
      <c r="O17" s="12"/>
      <c r="P17" s="14" t="str">
        <f aca="false">IF($A17="","",SUM(L17,O17))</f>
        <v/>
      </c>
    </row>
    <row r="18" customFormat="false" ht="15" hidden="false" customHeight="false" outlineLevel="0" collapsed="false">
      <c r="A18" s="11"/>
      <c r="B18" s="12"/>
      <c r="C18" s="12"/>
      <c r="D18" s="12"/>
      <c r="E18" s="12"/>
      <c r="F18" s="12"/>
      <c r="G18" s="13" t="str">
        <f aca="false">IF($A18="","",IFERROR(F18/$D18,""))</f>
        <v/>
      </c>
      <c r="H18" s="12"/>
      <c r="I18" s="12"/>
      <c r="J18" s="14" t="str">
        <f aca="false">IF($A18="","",SUM(F18,I18))</f>
        <v/>
      </c>
      <c r="K18" s="12"/>
      <c r="L18" s="12"/>
      <c r="M18" s="13" t="str">
        <f aca="false">IF($A18="","",IFERROR(L18/$D18,""))</f>
        <v/>
      </c>
      <c r="N18" s="12"/>
      <c r="O18" s="12"/>
      <c r="P18" s="14" t="str">
        <f aca="false">IF($A18="","",SUM(L18,O18))</f>
        <v/>
      </c>
    </row>
    <row r="19" customFormat="false" ht="15" hidden="false" customHeight="false" outlineLevel="0" collapsed="false">
      <c r="A19" s="11"/>
      <c r="B19" s="12"/>
      <c r="C19" s="12"/>
      <c r="D19" s="12"/>
      <c r="E19" s="12"/>
      <c r="F19" s="12"/>
      <c r="G19" s="13" t="str">
        <f aca="false">IF($A19="","",IFERROR(F19/$D19,""))</f>
        <v/>
      </c>
      <c r="H19" s="12"/>
      <c r="I19" s="12"/>
      <c r="J19" s="14" t="str">
        <f aca="false">IF($A19="","",SUM(F19,I19))</f>
        <v/>
      </c>
      <c r="K19" s="12"/>
      <c r="L19" s="12"/>
      <c r="M19" s="13" t="str">
        <f aca="false">IF($A19="","",IFERROR(L19/$D19,""))</f>
        <v/>
      </c>
      <c r="N19" s="12"/>
      <c r="O19" s="12"/>
      <c r="P19" s="14" t="str">
        <f aca="false">IF($A19="","",SUM(L19,O19))</f>
        <v/>
      </c>
    </row>
    <row r="20" customFormat="false" ht="15" hidden="false" customHeight="false" outlineLevel="0" collapsed="false">
      <c r="A20" s="11"/>
      <c r="B20" s="12"/>
      <c r="C20" s="12"/>
      <c r="D20" s="12"/>
      <c r="E20" s="12"/>
      <c r="F20" s="12"/>
      <c r="G20" s="13" t="str">
        <f aca="false">IF($A20="","",IFERROR(F20/$D20,""))</f>
        <v/>
      </c>
      <c r="H20" s="12"/>
      <c r="I20" s="12"/>
      <c r="J20" s="14" t="str">
        <f aca="false">IF($A20="","",SUM(F20,I20))</f>
        <v/>
      </c>
      <c r="K20" s="12"/>
      <c r="L20" s="12"/>
      <c r="M20" s="13" t="str">
        <f aca="false">IF($A20="","",IFERROR(L20/$D20,""))</f>
        <v/>
      </c>
      <c r="N20" s="12"/>
      <c r="O20" s="12"/>
      <c r="P20" s="14" t="str">
        <f aca="false">IF($A20="","",SUM(L20,O20))</f>
        <v/>
      </c>
    </row>
    <row r="21" customFormat="false" ht="15" hidden="false" customHeight="false" outlineLevel="0" collapsed="false">
      <c r="A21" s="15" t="s">
        <v>73</v>
      </c>
      <c r="B21" s="16"/>
      <c r="C21" s="16" t="n">
        <f aca="false">SUMIFS(C$3:C$20,$B$3:$B$20,"ERPI")</f>
        <v>0</v>
      </c>
      <c r="D21" s="16" t="n">
        <f aca="false">SUMIFS(D$3:D$20,$B$3:$B$20,"ERPI")</f>
        <v>0</v>
      </c>
      <c r="E21" s="16" t="n">
        <f aca="false">SUMIFS(E$3:E$20,$B$3:$B$20,"ERPI")</f>
        <v>0</v>
      </c>
      <c r="F21" s="16" t="n">
        <f aca="false">SUMIFS(F$3:F$20,$B$3:$B$20,"ERPI")</f>
        <v>0</v>
      </c>
      <c r="G21" s="17" t="str">
        <f aca="false">IFERROR(F21/D21,"")</f>
        <v/>
      </c>
      <c r="H21" s="16" t="n">
        <f aca="false">SUMIFS(H$3:H$20,$B$3:$B$20,"ERPI")</f>
        <v>0</v>
      </c>
      <c r="I21" s="16" t="n">
        <f aca="false">SUMIFS(I$3:I$20,$B$3:$B$20,"ERPI")</f>
        <v>0</v>
      </c>
      <c r="J21" s="16" t="n">
        <f aca="false">SUM(F21,I21)</f>
        <v>0</v>
      </c>
      <c r="K21" s="16" t="n">
        <f aca="false">SUMIFS(K$3:K$20,$B$3:$B$20,"ERPI")</f>
        <v>0</v>
      </c>
      <c r="L21" s="16" t="n">
        <f aca="false">SUMIFS(L$3:L$20,$B$3:$B$20,"ERPI")</f>
        <v>0</v>
      </c>
      <c r="M21" s="17" t="str">
        <f aca="false">IFERROR(L21/D21,"")</f>
        <v/>
      </c>
      <c r="N21" s="16" t="n">
        <f aca="false">SUMIFS(N$3:N$20,$B$3:$B$20,"ERPI")</f>
        <v>0</v>
      </c>
      <c r="O21" s="16" t="n">
        <f aca="false">SUMIFS(O$3:O$20,$B$3:$B$20,"ERPI")</f>
        <v>0</v>
      </c>
      <c r="P21" s="16" t="n">
        <f aca="false">SUM(L21,O21)</f>
        <v>0</v>
      </c>
    </row>
    <row r="22" customFormat="false" ht="15" hidden="false" customHeight="false" outlineLevel="0" collapsed="false">
      <c r="A22" s="18" t="s">
        <v>74</v>
      </c>
      <c r="B22" s="19"/>
      <c r="C22" s="19" t="n">
        <f aca="false">C23-C21</f>
        <v>0</v>
      </c>
      <c r="D22" s="19" t="n">
        <f aca="false">D23-D21</f>
        <v>0</v>
      </c>
      <c r="E22" s="19" t="n">
        <f aca="false">E23-E21</f>
        <v>0</v>
      </c>
      <c r="F22" s="19" t="n">
        <f aca="false">F23-F21</f>
        <v>0</v>
      </c>
      <c r="G22" s="20" t="str">
        <f aca="false">IFERROR(F22/D22,"")</f>
        <v/>
      </c>
      <c r="H22" s="19" t="n">
        <f aca="false">H23-H21</f>
        <v>0</v>
      </c>
      <c r="I22" s="19" t="n">
        <f aca="false">I23-I21</f>
        <v>0</v>
      </c>
      <c r="J22" s="19" t="n">
        <f aca="false">SUM(F22,I22)</f>
        <v>0</v>
      </c>
      <c r="K22" s="19" t="n">
        <f aca="false">K23-K21</f>
        <v>0</v>
      </c>
      <c r="L22" s="19" t="n">
        <f aca="false">L23-L21</f>
        <v>0</v>
      </c>
      <c r="M22" s="20" t="str">
        <f aca="false">IFERROR(L22/D22,"")</f>
        <v/>
      </c>
      <c r="N22" s="19" t="n">
        <f aca="false">N23-N21</f>
        <v>0</v>
      </c>
      <c r="O22" s="19" t="n">
        <f aca="false">O23-O21</f>
        <v>0</v>
      </c>
      <c r="P22" s="19" t="n">
        <f aca="false">SUM(L22,O22)</f>
        <v>0</v>
      </c>
    </row>
    <row r="23" customFormat="false" ht="15" hidden="false" customHeight="false" outlineLevel="0" collapsed="false">
      <c r="A23" s="21" t="s">
        <v>75</v>
      </c>
      <c r="B23" s="22"/>
      <c r="C23" s="22" t="n">
        <f aca="false">SUM(C$3:C$20)</f>
        <v>0</v>
      </c>
      <c r="D23" s="22" t="n">
        <f aca="false">SUM(D$3:D$20)</f>
        <v>0</v>
      </c>
      <c r="E23" s="22" t="n">
        <f aca="false">SUM(E$3:E$20)</f>
        <v>0</v>
      </c>
      <c r="F23" s="22" t="n">
        <f aca="false">SUM(F$3:F$20)</f>
        <v>0</v>
      </c>
      <c r="G23" s="23" t="str">
        <f aca="false">IFERROR(F23/D23,"")</f>
        <v/>
      </c>
      <c r="H23" s="22" t="n">
        <f aca="false">SUM(H$3:H$20)</f>
        <v>0</v>
      </c>
      <c r="I23" s="22" t="n">
        <f aca="false">SUM(I$3:I$20)</f>
        <v>0</v>
      </c>
      <c r="J23" s="22" t="n">
        <f aca="false">SUM(F23,I23)</f>
        <v>0</v>
      </c>
      <c r="K23" s="22" t="n">
        <f aca="false">SUM(K$3:K$20)</f>
        <v>0</v>
      </c>
      <c r="L23" s="22" t="n">
        <f aca="false">SUM(L$3:L$20)</f>
        <v>0</v>
      </c>
      <c r="M23" s="23" t="str">
        <f aca="false">IFERROR(L23/D23,"")</f>
        <v/>
      </c>
      <c r="N23" s="22" t="n">
        <f aca="false">SUM(N$3:N$20)</f>
        <v>0</v>
      </c>
      <c r="O23" s="22" t="n">
        <f aca="false">SUM(O$3:O$20)</f>
        <v>0</v>
      </c>
      <c r="P23" s="22" t="n">
        <f aca="false">SUM(L23,O23)</f>
        <v>0</v>
      </c>
    </row>
  </sheetData>
  <sheetProtection sheet="true" formatColumns="false" formatRows="false"/>
  <mergeCells count="2">
    <mergeCell ref="E1:J1"/>
    <mergeCell ref="K1:P1"/>
  </mergeCells>
  <conditionalFormatting sqref="B3:B20">
    <cfRule type="expression" priority="2" aboveAverage="0" equalAverage="0" bottom="0" percent="0" rank="0" text="" dxfId="0">
      <formula>AND($A3&lt;&gt;"",$B3="")</formula>
    </cfRule>
  </conditionalFormatting>
  <conditionalFormatting sqref="E3:E20">
    <cfRule type="expression" priority="3" aboveAverage="0" equalAverage="0" bottom="0" percent="0" rank="0" text="" dxfId="0">
      <formula>AND(E3&lt;&gt;"",E3&gt;$D3)</formula>
    </cfRule>
  </conditionalFormatting>
  <conditionalFormatting sqref="F3:F20">
    <cfRule type="expression" priority="4" aboveAverage="0" equalAverage="0" bottom="0" percent="0" rank="0" text="" dxfId="0">
      <formula>AND(F3&lt;&gt;"",F3&gt;$D3)</formula>
    </cfRule>
  </conditionalFormatting>
  <conditionalFormatting sqref="H3:H20">
    <cfRule type="expression" priority="5" aboveAverage="0" equalAverage="0" bottom="0" percent="0" rank="0" text="" dxfId="0">
      <formula>AND(H3&lt;&gt;"",H3&gt;$C3)</formula>
    </cfRule>
  </conditionalFormatting>
  <conditionalFormatting sqref="I3:I20">
    <cfRule type="expression" priority="6" aboveAverage="0" equalAverage="0" bottom="0" percent="0" rank="0" text="" dxfId="0">
      <formula>AND(I3&lt;&gt;"",I3&gt;$C3)</formula>
    </cfRule>
  </conditionalFormatting>
  <conditionalFormatting sqref="K3:K20">
    <cfRule type="expression" priority="7" aboveAverage="0" equalAverage="0" bottom="0" percent="0" rank="0" text="" dxfId="0">
      <formula>AND(K3&lt;&gt;"",K3&gt;$D3)</formula>
    </cfRule>
  </conditionalFormatting>
  <conditionalFormatting sqref="L3:L20">
    <cfRule type="expression" priority="8" aboveAverage="0" equalAverage="0" bottom="0" percent="0" rank="0" text="" dxfId="0">
      <formula>AND(L3&lt;&gt;"",L3&gt;$D3)</formula>
    </cfRule>
  </conditionalFormatting>
  <conditionalFormatting sqref="N3:N20">
    <cfRule type="expression" priority="9" aboveAverage="0" equalAverage="0" bottom="0" percent="0" rank="0" text="" dxfId="0">
      <formula>AND(N3&lt;&gt;"",N3&gt;$C3)</formula>
    </cfRule>
  </conditionalFormatting>
  <conditionalFormatting sqref="O3:O20">
    <cfRule type="expression" priority="10" aboveAverage="0" equalAverage="0" bottom="0" percent="0" rank="0" text="" dxfId="0">
      <formula>AND(O3&lt;&gt;"",O3&gt;$C3)</formula>
    </cfRule>
  </conditionalFormatting>
  <dataValidations count="1">
    <dataValidation allowBlank="true" error="Escolher: ERPI, CD, Lar Residencial ou UCCI" errorStyle="stop" errorTitle="Tipologia inválida" operator="between" showDropDown="false" showErrorMessage="true" showInputMessage="false" sqref="B3:B20" type="list">
      <formula1>"ERPI,CD,Lar Residencial,UCCI"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5"/>
    <col collapsed="false" customWidth="true" hidden="false" outlineLevel="0" max="16" min="3" style="0" width="13"/>
  </cols>
  <sheetData>
    <row r="1" customFormat="false" ht="15" hidden="false" customHeight="true" outlineLevel="0" collapsed="false">
      <c r="E1" s="7" t="s">
        <v>24</v>
      </c>
      <c r="F1" s="7"/>
      <c r="G1" s="7"/>
      <c r="H1" s="7"/>
      <c r="I1" s="7"/>
      <c r="J1" s="7"/>
      <c r="K1" s="8" t="s">
        <v>25</v>
      </c>
      <c r="L1" s="8"/>
      <c r="M1" s="8"/>
      <c r="N1" s="8"/>
      <c r="O1" s="8"/>
      <c r="P1" s="8"/>
    </row>
    <row r="2" customFormat="false" ht="35.05" hidden="false" customHeight="false" outlineLevel="0" collapsed="false">
      <c r="A2" s="4" t="s">
        <v>26</v>
      </c>
      <c r="B2" s="4" t="s">
        <v>17</v>
      </c>
      <c r="C2" s="4" t="s">
        <v>27</v>
      </c>
      <c r="D2" s="4" t="s">
        <v>19</v>
      </c>
      <c r="E2" s="9" t="s">
        <v>28</v>
      </c>
      <c r="F2" s="9" t="s">
        <v>29</v>
      </c>
      <c r="G2" s="9" t="s">
        <v>30</v>
      </c>
      <c r="H2" s="9" t="s">
        <v>31</v>
      </c>
      <c r="I2" s="9" t="s">
        <v>32</v>
      </c>
      <c r="J2" s="9" t="s">
        <v>33</v>
      </c>
      <c r="K2" s="10" t="s">
        <v>28</v>
      </c>
      <c r="L2" s="10" t="s">
        <v>29</v>
      </c>
      <c r="M2" s="10" t="s">
        <v>30</v>
      </c>
      <c r="N2" s="10" t="s">
        <v>31</v>
      </c>
      <c r="O2" s="10" t="s">
        <v>32</v>
      </c>
      <c r="P2" s="10" t="s">
        <v>33</v>
      </c>
    </row>
    <row r="3" customFormat="false" ht="15" hidden="false" customHeight="false" outlineLevel="0" collapsed="false">
      <c r="A3" s="11" t="s">
        <v>90</v>
      </c>
      <c r="B3" s="12" t="s">
        <v>23</v>
      </c>
      <c r="C3" s="12"/>
      <c r="D3" s="12"/>
      <c r="E3" s="12"/>
      <c r="F3" s="12"/>
      <c r="G3" s="13" t="str">
        <f aca="false">IF($A3="","",IFERROR(F3/$D3,""))</f>
        <v/>
      </c>
      <c r="H3" s="12"/>
      <c r="I3" s="12"/>
      <c r="J3" s="14" t="n">
        <f aca="false">IF($A3="","",SUM(F3,I3))</f>
        <v>0</v>
      </c>
      <c r="K3" s="12"/>
      <c r="L3" s="12"/>
      <c r="M3" s="13" t="str">
        <f aca="false">IF($A3="","",IFERROR(L3/$D3,""))</f>
        <v/>
      </c>
      <c r="N3" s="12"/>
      <c r="O3" s="12"/>
      <c r="P3" s="14" t="n">
        <f aca="false">IF($A3="","",SUM(L3,O3))</f>
        <v>0</v>
      </c>
    </row>
    <row r="4" customFormat="false" ht="15" hidden="false" customHeight="false" outlineLevel="0" collapsed="false">
      <c r="A4" s="11" t="s">
        <v>91</v>
      </c>
      <c r="B4" s="12" t="s">
        <v>23</v>
      </c>
      <c r="C4" s="12"/>
      <c r="D4" s="12"/>
      <c r="E4" s="12"/>
      <c r="F4" s="12"/>
      <c r="G4" s="13" t="str">
        <f aca="false">IF($A4="","",IFERROR(F4/$D4,""))</f>
        <v/>
      </c>
      <c r="H4" s="12"/>
      <c r="I4" s="12"/>
      <c r="J4" s="14" t="n">
        <f aca="false">IF($A4="","",SUM(F4,I4))</f>
        <v>0</v>
      </c>
      <c r="K4" s="12"/>
      <c r="L4" s="12"/>
      <c r="M4" s="13" t="str">
        <f aca="false">IF($A4="","",IFERROR(L4/$D4,""))</f>
        <v/>
      </c>
      <c r="N4" s="12"/>
      <c r="O4" s="12"/>
      <c r="P4" s="14" t="n">
        <f aca="false">IF($A4="","",SUM(L4,O4))</f>
        <v>0</v>
      </c>
    </row>
    <row r="5" customFormat="false" ht="15" hidden="false" customHeight="false" outlineLevel="0" collapsed="false">
      <c r="A5" s="11" t="s">
        <v>92</v>
      </c>
      <c r="B5" s="12" t="s">
        <v>23</v>
      </c>
      <c r="C5" s="12"/>
      <c r="D5" s="12"/>
      <c r="E5" s="12"/>
      <c r="F5" s="12"/>
      <c r="G5" s="13" t="str">
        <f aca="false">IF($A5="","",IFERROR(F5/$D5,""))</f>
        <v/>
      </c>
      <c r="H5" s="12"/>
      <c r="I5" s="12"/>
      <c r="J5" s="14" t="n">
        <f aca="false">IF($A5="","",SUM(F5,I5))</f>
        <v>0</v>
      </c>
      <c r="K5" s="12"/>
      <c r="L5" s="12"/>
      <c r="M5" s="13" t="str">
        <f aca="false">IF($A5="","",IFERROR(L5/$D5,""))</f>
        <v/>
      </c>
      <c r="N5" s="12"/>
      <c r="O5" s="12"/>
      <c r="P5" s="14" t="n">
        <f aca="false">IF($A5="","",SUM(L5,O5))</f>
        <v>0</v>
      </c>
    </row>
    <row r="6" customFormat="false" ht="15" hidden="false" customHeight="false" outlineLevel="0" collapsed="false">
      <c r="A6" s="11" t="s">
        <v>93</v>
      </c>
      <c r="B6" s="12" t="s">
        <v>23</v>
      </c>
      <c r="C6" s="12"/>
      <c r="D6" s="12"/>
      <c r="E6" s="12"/>
      <c r="F6" s="12"/>
      <c r="G6" s="13" t="str">
        <f aca="false">IF($A6="","",IFERROR(F6/$D6,""))</f>
        <v/>
      </c>
      <c r="H6" s="12"/>
      <c r="I6" s="12"/>
      <c r="J6" s="14" t="n">
        <f aca="false">IF($A6="","",SUM(F6,I6))</f>
        <v>0</v>
      </c>
      <c r="K6" s="12"/>
      <c r="L6" s="12"/>
      <c r="M6" s="13" t="str">
        <f aca="false">IF($A6="","",IFERROR(L6/$D6,""))</f>
        <v/>
      </c>
      <c r="N6" s="12"/>
      <c r="O6" s="12"/>
      <c r="P6" s="14" t="n">
        <f aca="false">IF($A6="","",SUM(L6,O6))</f>
        <v>0</v>
      </c>
    </row>
    <row r="7" customFormat="false" ht="15" hidden="false" customHeight="false" outlineLevel="0" collapsed="false">
      <c r="A7" s="11" t="s">
        <v>94</v>
      </c>
      <c r="B7" s="12" t="s">
        <v>23</v>
      </c>
      <c r="C7" s="12"/>
      <c r="D7" s="12"/>
      <c r="E7" s="12"/>
      <c r="F7" s="12"/>
      <c r="G7" s="13" t="str">
        <f aca="false">IF($A7="","",IFERROR(F7/$D7,""))</f>
        <v/>
      </c>
      <c r="H7" s="12"/>
      <c r="I7" s="12"/>
      <c r="J7" s="14" t="n">
        <f aca="false">IF($A7="","",SUM(F7,I7))</f>
        <v>0</v>
      </c>
      <c r="K7" s="12"/>
      <c r="L7" s="12"/>
      <c r="M7" s="13" t="str">
        <f aca="false">IF($A7="","",IFERROR(L7/$D7,""))</f>
        <v/>
      </c>
      <c r="N7" s="12"/>
      <c r="O7" s="12"/>
      <c r="P7" s="14" t="n">
        <f aca="false">IF($A7="","",SUM(L7,O7))</f>
        <v>0</v>
      </c>
    </row>
    <row r="8" customFormat="false" ht="15" hidden="false" customHeight="false" outlineLevel="0" collapsed="false">
      <c r="A8" s="11" t="s">
        <v>95</v>
      </c>
      <c r="B8" s="12" t="s">
        <v>23</v>
      </c>
      <c r="C8" s="12"/>
      <c r="D8" s="12"/>
      <c r="E8" s="12"/>
      <c r="F8" s="12"/>
      <c r="G8" s="13" t="str">
        <f aca="false">IF($A8="","",IFERROR(F8/$D8,""))</f>
        <v/>
      </c>
      <c r="H8" s="12"/>
      <c r="I8" s="12"/>
      <c r="J8" s="14" t="n">
        <f aca="false">IF($A8="","",SUM(F8,I8))</f>
        <v>0</v>
      </c>
      <c r="K8" s="12"/>
      <c r="L8" s="12"/>
      <c r="M8" s="13" t="str">
        <f aca="false">IF($A8="","",IFERROR(L8/$D8,""))</f>
        <v/>
      </c>
      <c r="N8" s="12"/>
      <c r="O8" s="12"/>
      <c r="P8" s="14" t="n">
        <f aca="false">IF($A8="","",SUM(L8,O8))</f>
        <v>0</v>
      </c>
    </row>
    <row r="9" customFormat="false" ht="23.85" hidden="false" customHeight="false" outlineLevel="0" collapsed="false">
      <c r="A9" s="11" t="s">
        <v>96</v>
      </c>
      <c r="B9" s="12" t="s">
        <v>23</v>
      </c>
      <c r="C9" s="12"/>
      <c r="D9" s="12"/>
      <c r="E9" s="12"/>
      <c r="F9" s="12"/>
      <c r="G9" s="13" t="str">
        <f aca="false">IF($A9="","",IFERROR(F9/$D9,""))</f>
        <v/>
      </c>
      <c r="H9" s="12"/>
      <c r="I9" s="12"/>
      <c r="J9" s="14" t="n">
        <f aca="false">IF($A9="","",SUM(F9,I9))</f>
        <v>0</v>
      </c>
      <c r="K9" s="12"/>
      <c r="L9" s="12"/>
      <c r="M9" s="13" t="str">
        <f aca="false">IF($A9="","",IFERROR(L9/$D9,""))</f>
        <v/>
      </c>
      <c r="N9" s="12"/>
      <c r="O9" s="12"/>
      <c r="P9" s="14" t="n">
        <f aca="false">IF($A9="","",SUM(L9,O9))</f>
        <v>0</v>
      </c>
    </row>
    <row r="10" customFormat="false" ht="15" hidden="false" customHeight="false" outlineLevel="0" collapsed="false">
      <c r="A10" s="11" t="s">
        <v>97</v>
      </c>
      <c r="B10" s="12" t="s">
        <v>23</v>
      </c>
      <c r="C10" s="12"/>
      <c r="D10" s="12"/>
      <c r="E10" s="12"/>
      <c r="F10" s="12"/>
      <c r="G10" s="13" t="str">
        <f aca="false">IF($A10="","",IFERROR(F10/$D10,""))</f>
        <v/>
      </c>
      <c r="H10" s="12"/>
      <c r="I10" s="12"/>
      <c r="J10" s="14" t="n">
        <f aca="false">IF($A10="","",SUM(F10,I10))</f>
        <v>0</v>
      </c>
      <c r="K10" s="12"/>
      <c r="L10" s="12"/>
      <c r="M10" s="13" t="str">
        <f aca="false">IF($A10="","",IFERROR(L10/$D10,""))</f>
        <v/>
      </c>
      <c r="N10" s="12"/>
      <c r="O10" s="12"/>
      <c r="P10" s="14" t="n">
        <f aca="false">IF($A10="","",SUM(L10,O10))</f>
        <v>0</v>
      </c>
    </row>
    <row r="11" customFormat="false" ht="15" hidden="false" customHeight="false" outlineLevel="0" collapsed="false">
      <c r="A11" s="11" t="s">
        <v>98</v>
      </c>
      <c r="B11" s="12" t="s">
        <v>23</v>
      </c>
      <c r="C11" s="12"/>
      <c r="D11" s="12"/>
      <c r="E11" s="12"/>
      <c r="F11" s="12"/>
      <c r="G11" s="13" t="str">
        <f aca="false">IF($A11="","",IFERROR(F11/$D11,""))</f>
        <v/>
      </c>
      <c r="H11" s="12"/>
      <c r="I11" s="12"/>
      <c r="J11" s="14" t="n">
        <f aca="false">IF($A11="","",SUM(F11,I11))</f>
        <v>0</v>
      </c>
      <c r="K11" s="12"/>
      <c r="L11" s="12"/>
      <c r="M11" s="13" t="str">
        <f aca="false">IF($A11="","",IFERROR(L11/$D11,""))</f>
        <v/>
      </c>
      <c r="N11" s="12"/>
      <c r="O11" s="12"/>
      <c r="P11" s="14" t="n">
        <f aca="false">IF($A11="","",SUM(L11,O11))</f>
        <v>0</v>
      </c>
    </row>
    <row r="12" customFormat="false" ht="15" hidden="false" customHeight="false" outlineLevel="0" collapsed="false">
      <c r="A12" s="11" t="s">
        <v>99</v>
      </c>
      <c r="B12" s="12" t="s">
        <v>23</v>
      </c>
      <c r="C12" s="12"/>
      <c r="D12" s="12"/>
      <c r="E12" s="12"/>
      <c r="F12" s="12"/>
      <c r="G12" s="13" t="str">
        <f aca="false">IF($A12="","",IFERROR(F12/$D12,""))</f>
        <v/>
      </c>
      <c r="H12" s="12"/>
      <c r="I12" s="12"/>
      <c r="J12" s="14" t="n">
        <f aca="false">IF($A12="","",SUM(F12,I12))</f>
        <v>0</v>
      </c>
      <c r="K12" s="12"/>
      <c r="L12" s="12"/>
      <c r="M12" s="13" t="str">
        <f aca="false">IF($A12="","",IFERROR(L12/$D12,""))</f>
        <v/>
      </c>
      <c r="N12" s="12"/>
      <c r="O12" s="12"/>
      <c r="P12" s="14" t="n">
        <f aca="false">IF($A12="","",SUM(L12,O12))</f>
        <v>0</v>
      </c>
    </row>
    <row r="13" customFormat="false" ht="15" hidden="false" customHeight="false" outlineLevel="0" collapsed="false">
      <c r="A13" s="11" t="s">
        <v>100</v>
      </c>
      <c r="B13" s="12" t="s">
        <v>51</v>
      </c>
      <c r="C13" s="12"/>
      <c r="D13" s="12"/>
      <c r="E13" s="12"/>
      <c r="F13" s="12"/>
      <c r="G13" s="13" t="str">
        <f aca="false">IF($A13="","",IFERROR(F13/$D13,""))</f>
        <v/>
      </c>
      <c r="H13" s="12"/>
      <c r="I13" s="12"/>
      <c r="J13" s="14" t="n">
        <f aca="false">IF($A13="","",SUM(F13,I13))</f>
        <v>0</v>
      </c>
      <c r="K13" s="12"/>
      <c r="L13" s="12"/>
      <c r="M13" s="13" t="str">
        <f aca="false">IF($A13="","",IFERROR(L13/$D13,""))</f>
        <v/>
      </c>
      <c r="N13" s="12"/>
      <c r="O13" s="12"/>
      <c r="P13" s="14" t="n">
        <f aca="false">IF($A13="","",SUM(L13,O13))</f>
        <v>0</v>
      </c>
    </row>
    <row r="14" customFormat="false" ht="15" hidden="false" customHeight="false" outlineLevel="0" collapsed="false">
      <c r="A14" s="11" t="s">
        <v>101</v>
      </c>
      <c r="B14" s="12" t="s">
        <v>51</v>
      </c>
      <c r="C14" s="12"/>
      <c r="D14" s="12"/>
      <c r="E14" s="12"/>
      <c r="F14" s="12"/>
      <c r="G14" s="13" t="str">
        <f aca="false">IF($A14="","",IFERROR(F14/$D14,""))</f>
        <v/>
      </c>
      <c r="H14" s="12"/>
      <c r="I14" s="12"/>
      <c r="J14" s="14" t="n">
        <f aca="false">IF($A14="","",SUM(F14,I14))</f>
        <v>0</v>
      </c>
      <c r="K14" s="12"/>
      <c r="L14" s="12"/>
      <c r="M14" s="13" t="str">
        <f aca="false">IF($A14="","",IFERROR(L14/$D14,""))</f>
        <v/>
      </c>
      <c r="N14" s="12"/>
      <c r="O14" s="12"/>
      <c r="P14" s="14" t="n">
        <f aca="false">IF($A14="","",SUM(L14,O14))</f>
        <v>0</v>
      </c>
    </row>
    <row r="15" customFormat="false" ht="15" hidden="false" customHeight="false" outlineLevel="0" collapsed="false">
      <c r="A15" s="11" t="s">
        <v>102</v>
      </c>
      <c r="B15" s="12" t="s">
        <v>51</v>
      </c>
      <c r="C15" s="12"/>
      <c r="D15" s="12"/>
      <c r="E15" s="12"/>
      <c r="F15" s="12"/>
      <c r="G15" s="13" t="str">
        <f aca="false">IF($A15="","",IFERROR(F15/$D15,""))</f>
        <v/>
      </c>
      <c r="H15" s="12"/>
      <c r="I15" s="12"/>
      <c r="J15" s="14" t="n">
        <f aca="false">IF($A15="","",SUM(F15,I15))</f>
        <v>0</v>
      </c>
      <c r="K15" s="12"/>
      <c r="L15" s="12"/>
      <c r="M15" s="13" t="str">
        <f aca="false">IF($A15="","",IFERROR(L15/$D15,""))</f>
        <v/>
      </c>
      <c r="N15" s="12"/>
      <c r="O15" s="12"/>
      <c r="P15" s="14" t="n">
        <f aca="false">IF($A15="","",SUM(L15,O15))</f>
        <v>0</v>
      </c>
    </row>
    <row r="16" customFormat="false" ht="15" hidden="false" customHeight="false" outlineLevel="0" collapsed="false">
      <c r="A16" s="11" t="s">
        <v>103</v>
      </c>
      <c r="B16" s="12" t="s">
        <v>51</v>
      </c>
      <c r="C16" s="12"/>
      <c r="D16" s="12"/>
      <c r="E16" s="12"/>
      <c r="F16" s="12"/>
      <c r="G16" s="13" t="str">
        <f aca="false">IF($A16="","",IFERROR(F16/$D16,""))</f>
        <v/>
      </c>
      <c r="H16" s="12"/>
      <c r="I16" s="12"/>
      <c r="J16" s="14" t="n">
        <f aca="false">IF($A16="","",SUM(F16,I16))</f>
        <v>0</v>
      </c>
      <c r="K16" s="12"/>
      <c r="L16" s="12"/>
      <c r="M16" s="13" t="str">
        <f aca="false">IF($A16="","",IFERROR(L16/$D16,""))</f>
        <v/>
      </c>
      <c r="N16" s="12"/>
      <c r="O16" s="12"/>
      <c r="P16" s="14" t="n">
        <f aca="false">IF($A16="","",SUM(L16,O16))</f>
        <v>0</v>
      </c>
    </row>
    <row r="17" customFormat="false" ht="15" hidden="false" customHeight="false" outlineLevel="0" collapsed="false">
      <c r="A17" s="11" t="s">
        <v>104</v>
      </c>
      <c r="B17" s="12" t="s">
        <v>51</v>
      </c>
      <c r="C17" s="12"/>
      <c r="D17" s="12"/>
      <c r="E17" s="12"/>
      <c r="F17" s="12"/>
      <c r="G17" s="13" t="str">
        <f aca="false">IF($A17="","",IFERROR(F17/$D17,""))</f>
        <v/>
      </c>
      <c r="H17" s="12"/>
      <c r="I17" s="12"/>
      <c r="J17" s="14" t="n">
        <f aca="false">IF($A17="","",SUM(F17,I17))</f>
        <v>0</v>
      </c>
      <c r="K17" s="12"/>
      <c r="L17" s="12"/>
      <c r="M17" s="13" t="str">
        <f aca="false">IF($A17="","",IFERROR(L17/$D17,""))</f>
        <v/>
      </c>
      <c r="N17" s="12"/>
      <c r="O17" s="12"/>
      <c r="P17" s="14" t="n">
        <f aca="false">IF($A17="","",SUM(L17,O17))</f>
        <v>0</v>
      </c>
    </row>
    <row r="18" customFormat="false" ht="15" hidden="false" customHeight="false" outlineLevel="0" collapsed="false">
      <c r="A18" s="11" t="s">
        <v>105</v>
      </c>
      <c r="B18" s="12" t="s">
        <v>51</v>
      </c>
      <c r="C18" s="12"/>
      <c r="D18" s="12"/>
      <c r="E18" s="12"/>
      <c r="F18" s="12"/>
      <c r="G18" s="13" t="str">
        <f aca="false">IF($A18="","",IFERROR(F18/$D18,""))</f>
        <v/>
      </c>
      <c r="H18" s="12"/>
      <c r="I18" s="12"/>
      <c r="J18" s="14" t="n">
        <f aca="false">IF($A18="","",SUM(F18,I18))</f>
        <v>0</v>
      </c>
      <c r="K18" s="12"/>
      <c r="L18" s="12"/>
      <c r="M18" s="13" t="str">
        <f aca="false">IF($A18="","",IFERROR(L18/$D18,""))</f>
        <v/>
      </c>
      <c r="N18" s="12"/>
      <c r="O18" s="12"/>
      <c r="P18" s="14" t="n">
        <f aca="false">IF($A18="","",SUM(L18,O18))</f>
        <v>0</v>
      </c>
    </row>
    <row r="19" customFormat="false" ht="23.85" hidden="false" customHeight="false" outlineLevel="0" collapsed="false">
      <c r="A19" s="11" t="s">
        <v>106</v>
      </c>
      <c r="B19" s="12" t="s">
        <v>51</v>
      </c>
      <c r="C19" s="12"/>
      <c r="D19" s="12"/>
      <c r="E19" s="12"/>
      <c r="F19" s="12"/>
      <c r="G19" s="13" t="str">
        <f aca="false">IF($A19="","",IFERROR(F19/$D19,""))</f>
        <v/>
      </c>
      <c r="H19" s="12"/>
      <c r="I19" s="12"/>
      <c r="J19" s="14" t="n">
        <f aca="false">IF($A19="","",SUM(F19,I19))</f>
        <v>0</v>
      </c>
      <c r="K19" s="12"/>
      <c r="L19" s="12"/>
      <c r="M19" s="13" t="str">
        <f aca="false">IF($A19="","",IFERROR(L19/$D19,""))</f>
        <v/>
      </c>
      <c r="N19" s="12"/>
      <c r="O19" s="12"/>
      <c r="P19" s="14" t="n">
        <f aca="false">IF($A19="","",SUM(L19,O19))</f>
        <v>0</v>
      </c>
    </row>
    <row r="20" customFormat="false" ht="15" hidden="false" customHeight="false" outlineLevel="0" collapsed="false">
      <c r="A20" s="11" t="s">
        <v>107</v>
      </c>
      <c r="B20" s="12" t="s">
        <v>51</v>
      </c>
      <c r="C20" s="12"/>
      <c r="D20" s="12"/>
      <c r="E20" s="12"/>
      <c r="F20" s="12"/>
      <c r="G20" s="13" t="str">
        <f aca="false">IF($A20="","",IFERROR(F20/$D20,""))</f>
        <v/>
      </c>
      <c r="H20" s="12"/>
      <c r="I20" s="12"/>
      <c r="J20" s="14" t="n">
        <f aca="false">IF($A20="","",SUM(F20,I20))</f>
        <v>0</v>
      </c>
      <c r="K20" s="12"/>
      <c r="L20" s="12"/>
      <c r="M20" s="13" t="str">
        <f aca="false">IF($A20="","",IFERROR(L20/$D20,""))</f>
        <v/>
      </c>
      <c r="N20" s="12"/>
      <c r="O20" s="12"/>
      <c r="P20" s="14" t="n">
        <f aca="false">IF($A20="","",SUM(L20,O20))</f>
        <v>0</v>
      </c>
    </row>
    <row r="21" customFormat="false" ht="15" hidden="false" customHeight="false" outlineLevel="0" collapsed="false">
      <c r="A21" s="11" t="s">
        <v>108</v>
      </c>
      <c r="B21" s="12" t="s">
        <v>51</v>
      </c>
      <c r="C21" s="12"/>
      <c r="D21" s="12"/>
      <c r="E21" s="12"/>
      <c r="F21" s="12"/>
      <c r="G21" s="13" t="str">
        <f aca="false">IF($A21="","",IFERROR(F21/$D21,""))</f>
        <v/>
      </c>
      <c r="H21" s="12"/>
      <c r="I21" s="12"/>
      <c r="J21" s="14" t="n">
        <f aca="false">IF($A21="","",SUM(F21,I21))</f>
        <v>0</v>
      </c>
      <c r="K21" s="12"/>
      <c r="L21" s="12"/>
      <c r="M21" s="13" t="str">
        <f aca="false">IF($A21="","",IFERROR(L21/$D21,""))</f>
        <v/>
      </c>
      <c r="N21" s="12"/>
      <c r="O21" s="12"/>
      <c r="P21" s="14" t="n">
        <f aca="false">IF($A21="","",SUM(L21,O21))</f>
        <v>0</v>
      </c>
    </row>
    <row r="22" customFormat="false" ht="15" hidden="false" customHeight="false" outlineLevel="0" collapsed="false">
      <c r="A22" s="11" t="s">
        <v>109</v>
      </c>
      <c r="B22" s="12" t="s">
        <v>51</v>
      </c>
      <c r="C22" s="12"/>
      <c r="D22" s="12"/>
      <c r="E22" s="12"/>
      <c r="F22" s="12"/>
      <c r="G22" s="13" t="str">
        <f aca="false">IF($A22="","",IFERROR(F22/$D22,""))</f>
        <v/>
      </c>
      <c r="H22" s="12"/>
      <c r="I22" s="12"/>
      <c r="J22" s="14" t="n">
        <f aca="false">IF($A22="","",SUM(F22,I22))</f>
        <v>0</v>
      </c>
      <c r="K22" s="12"/>
      <c r="L22" s="12"/>
      <c r="M22" s="13" t="str">
        <f aca="false">IF($A22="","",IFERROR(L22/$D22,""))</f>
        <v/>
      </c>
      <c r="N22" s="12"/>
      <c r="O22" s="12"/>
      <c r="P22" s="14" t="n">
        <f aca="false">IF($A22="","",SUM(L22,O22))</f>
        <v>0</v>
      </c>
    </row>
    <row r="23" customFormat="false" ht="15" hidden="false" customHeight="false" outlineLevel="0" collapsed="false">
      <c r="A23" s="11" t="s">
        <v>110</v>
      </c>
      <c r="B23" s="12" t="s">
        <v>51</v>
      </c>
      <c r="C23" s="12"/>
      <c r="D23" s="12"/>
      <c r="E23" s="12"/>
      <c r="F23" s="12"/>
      <c r="G23" s="13" t="str">
        <f aca="false">IF($A23="","",IFERROR(F23/$D23,""))</f>
        <v/>
      </c>
      <c r="H23" s="12"/>
      <c r="I23" s="12"/>
      <c r="J23" s="14" t="n">
        <f aca="false">IF($A23="","",SUM(F23,I23))</f>
        <v>0</v>
      </c>
      <c r="K23" s="12"/>
      <c r="L23" s="12"/>
      <c r="M23" s="13" t="str">
        <f aca="false">IF($A23="","",IFERROR(L23/$D23,""))</f>
        <v/>
      </c>
      <c r="N23" s="12"/>
      <c r="O23" s="12"/>
      <c r="P23" s="14" t="n">
        <f aca="false">IF($A23="","",SUM(L23,O23))</f>
        <v>0</v>
      </c>
    </row>
    <row r="24" customFormat="false" ht="15" hidden="false" customHeight="false" outlineLevel="0" collapsed="false">
      <c r="A24" s="11" t="s">
        <v>111</v>
      </c>
      <c r="B24" s="12" t="s">
        <v>51</v>
      </c>
      <c r="C24" s="12"/>
      <c r="D24" s="12"/>
      <c r="E24" s="12"/>
      <c r="F24" s="12"/>
      <c r="G24" s="13" t="str">
        <f aca="false">IF($A24="","",IFERROR(F24/$D24,""))</f>
        <v/>
      </c>
      <c r="H24" s="12"/>
      <c r="I24" s="12"/>
      <c r="J24" s="14" t="n">
        <f aca="false">IF($A24="","",SUM(F24,I24))</f>
        <v>0</v>
      </c>
      <c r="K24" s="12"/>
      <c r="L24" s="12"/>
      <c r="M24" s="13" t="str">
        <f aca="false">IF($A24="","",IFERROR(L24/$D24,""))</f>
        <v/>
      </c>
      <c r="N24" s="12"/>
      <c r="O24" s="12"/>
      <c r="P24" s="14" t="n">
        <f aca="false">IF($A24="","",SUM(L24,O24))</f>
        <v>0</v>
      </c>
    </row>
    <row r="25" customFormat="false" ht="15" hidden="false" customHeight="false" outlineLevel="0" collapsed="false">
      <c r="A25" s="11" t="s">
        <v>112</v>
      </c>
      <c r="B25" s="12" t="s">
        <v>69</v>
      </c>
      <c r="C25" s="12"/>
      <c r="D25" s="12"/>
      <c r="E25" s="12"/>
      <c r="F25" s="12"/>
      <c r="G25" s="13" t="str">
        <f aca="false">IF($A25="","",IFERROR(F25/$D25,""))</f>
        <v/>
      </c>
      <c r="H25" s="12"/>
      <c r="I25" s="12"/>
      <c r="J25" s="14" t="n">
        <f aca="false">IF($A25="","",SUM(F25,I25))</f>
        <v>0</v>
      </c>
      <c r="K25" s="12"/>
      <c r="L25" s="12"/>
      <c r="M25" s="13" t="str">
        <f aca="false">IF($A25="","",IFERROR(L25/$D25,""))</f>
        <v/>
      </c>
      <c r="N25" s="12"/>
      <c r="O25" s="12"/>
      <c r="P25" s="14" t="n">
        <f aca="false">IF($A25="","",SUM(L25,O25))</f>
        <v>0</v>
      </c>
    </row>
    <row r="26" customFormat="false" ht="15" hidden="false" customHeight="false" outlineLevel="0" collapsed="false">
      <c r="A26" s="11" t="s">
        <v>113</v>
      </c>
      <c r="B26" s="12" t="s">
        <v>69</v>
      </c>
      <c r="C26" s="12"/>
      <c r="D26" s="12"/>
      <c r="E26" s="12"/>
      <c r="F26" s="12"/>
      <c r="G26" s="13" t="str">
        <f aca="false">IF($A26="","",IFERROR(F26/$D26,""))</f>
        <v/>
      </c>
      <c r="H26" s="12"/>
      <c r="I26" s="12"/>
      <c r="J26" s="14" t="n">
        <f aca="false">IF($A26="","",SUM(F26,I26))</f>
        <v>0</v>
      </c>
      <c r="K26" s="12"/>
      <c r="L26" s="12"/>
      <c r="M26" s="13" t="str">
        <f aca="false">IF($A26="","",IFERROR(L26/$D26,""))</f>
        <v/>
      </c>
      <c r="N26" s="12"/>
      <c r="O26" s="12"/>
      <c r="P26" s="14" t="n">
        <f aca="false">IF($A26="","",SUM(L26,O26))</f>
        <v>0</v>
      </c>
    </row>
    <row r="27" customFormat="false" ht="15" hidden="false" customHeight="false" outlineLevel="0" collapsed="false">
      <c r="A27" s="11" t="s">
        <v>114</v>
      </c>
      <c r="B27" s="12" t="s">
        <v>69</v>
      </c>
      <c r="C27" s="12"/>
      <c r="D27" s="12"/>
      <c r="E27" s="12"/>
      <c r="F27" s="12"/>
      <c r="G27" s="13" t="str">
        <f aca="false">IF($A27="","",IFERROR(F27/$D27,""))</f>
        <v/>
      </c>
      <c r="H27" s="12"/>
      <c r="I27" s="12"/>
      <c r="J27" s="14" t="n">
        <f aca="false">IF($A27="","",SUM(F27,I27))</f>
        <v>0</v>
      </c>
      <c r="K27" s="12"/>
      <c r="L27" s="12"/>
      <c r="M27" s="13" t="str">
        <f aca="false">IF($A27="","",IFERROR(L27/$D27,""))</f>
        <v/>
      </c>
      <c r="N27" s="12"/>
      <c r="O27" s="12"/>
      <c r="P27" s="14" t="n">
        <f aca="false">IF($A27="","",SUM(L27,O27))</f>
        <v>0</v>
      </c>
    </row>
    <row r="28" customFormat="false" ht="23.85" hidden="false" customHeight="false" outlineLevel="0" collapsed="false">
      <c r="A28" s="11" t="s">
        <v>115</v>
      </c>
      <c r="B28" s="12" t="s">
        <v>72</v>
      </c>
      <c r="C28" s="12"/>
      <c r="D28" s="12"/>
      <c r="E28" s="12"/>
      <c r="F28" s="12"/>
      <c r="G28" s="13" t="str">
        <f aca="false">IF($A28="","",IFERROR(F28/$D28,""))</f>
        <v/>
      </c>
      <c r="H28" s="12"/>
      <c r="I28" s="12"/>
      <c r="J28" s="14" t="n">
        <f aca="false">IF($A28="","",SUM(F28,I28))</f>
        <v>0</v>
      </c>
      <c r="K28" s="12"/>
      <c r="L28" s="12"/>
      <c r="M28" s="13" t="str">
        <f aca="false">IF($A28="","",IFERROR(L28/$D28,""))</f>
        <v/>
      </c>
      <c r="N28" s="12"/>
      <c r="O28" s="12"/>
      <c r="P28" s="14" t="n">
        <f aca="false">IF($A28="","",SUM(L28,O28))</f>
        <v>0</v>
      </c>
    </row>
    <row r="29" customFormat="false" ht="15" hidden="false" customHeight="false" outlineLevel="0" collapsed="false">
      <c r="A29" s="11"/>
      <c r="B29" s="12"/>
      <c r="C29" s="12"/>
      <c r="D29" s="12"/>
      <c r="E29" s="12"/>
      <c r="F29" s="12"/>
      <c r="G29" s="13" t="str">
        <f aca="false">IF($A29="","",IFERROR(F29/$D29,""))</f>
        <v/>
      </c>
      <c r="H29" s="12"/>
      <c r="I29" s="12"/>
      <c r="J29" s="14" t="str">
        <f aca="false">IF($A29="","",SUM(F29,I29))</f>
        <v/>
      </c>
      <c r="K29" s="12"/>
      <c r="L29" s="12"/>
      <c r="M29" s="13" t="str">
        <f aca="false">IF($A29="","",IFERROR(L29/$D29,""))</f>
        <v/>
      </c>
      <c r="N29" s="12"/>
      <c r="O29" s="12"/>
      <c r="P29" s="14" t="str">
        <f aca="false">IF($A29="","",SUM(L29,O29))</f>
        <v/>
      </c>
    </row>
    <row r="30" customFormat="false" ht="15" hidden="false" customHeight="false" outlineLevel="0" collapsed="false">
      <c r="A30" s="11"/>
      <c r="B30" s="12"/>
      <c r="C30" s="12"/>
      <c r="D30" s="12"/>
      <c r="E30" s="12"/>
      <c r="F30" s="12"/>
      <c r="G30" s="13" t="str">
        <f aca="false">IF($A30="","",IFERROR(F30/$D30,""))</f>
        <v/>
      </c>
      <c r="H30" s="12"/>
      <c r="I30" s="12"/>
      <c r="J30" s="14" t="str">
        <f aca="false">IF($A30="","",SUM(F30,I30))</f>
        <v/>
      </c>
      <c r="K30" s="12"/>
      <c r="L30" s="12"/>
      <c r="M30" s="13" t="str">
        <f aca="false">IF($A30="","",IFERROR(L30/$D30,""))</f>
        <v/>
      </c>
      <c r="N30" s="12"/>
      <c r="O30" s="12"/>
      <c r="P30" s="14" t="str">
        <f aca="false">IF($A30="","",SUM(L30,O30))</f>
        <v/>
      </c>
    </row>
    <row r="31" customFormat="false" ht="15" hidden="false" customHeight="false" outlineLevel="0" collapsed="false">
      <c r="A31" s="11"/>
      <c r="B31" s="12"/>
      <c r="C31" s="12"/>
      <c r="D31" s="12"/>
      <c r="E31" s="12"/>
      <c r="F31" s="12"/>
      <c r="G31" s="13" t="str">
        <f aca="false">IF($A31="","",IFERROR(F31/$D31,""))</f>
        <v/>
      </c>
      <c r="H31" s="12"/>
      <c r="I31" s="12"/>
      <c r="J31" s="14" t="str">
        <f aca="false">IF($A31="","",SUM(F31,I31))</f>
        <v/>
      </c>
      <c r="K31" s="12"/>
      <c r="L31" s="12"/>
      <c r="M31" s="13" t="str">
        <f aca="false">IF($A31="","",IFERROR(L31/$D31,""))</f>
        <v/>
      </c>
      <c r="N31" s="12"/>
      <c r="O31" s="12"/>
      <c r="P31" s="14" t="str">
        <f aca="false">IF($A31="","",SUM(L31,O31))</f>
        <v/>
      </c>
    </row>
    <row r="32" customFormat="false" ht="15" hidden="false" customHeight="false" outlineLevel="0" collapsed="false">
      <c r="A32" s="11"/>
      <c r="B32" s="12"/>
      <c r="C32" s="12"/>
      <c r="D32" s="12"/>
      <c r="E32" s="12"/>
      <c r="F32" s="12"/>
      <c r="G32" s="13" t="str">
        <f aca="false">IF($A32="","",IFERROR(F32/$D32,""))</f>
        <v/>
      </c>
      <c r="H32" s="12"/>
      <c r="I32" s="12"/>
      <c r="J32" s="14" t="str">
        <f aca="false">IF($A32="","",SUM(F32,I32))</f>
        <v/>
      </c>
      <c r="K32" s="12"/>
      <c r="L32" s="12"/>
      <c r="M32" s="13" t="str">
        <f aca="false">IF($A32="","",IFERROR(L32/$D32,""))</f>
        <v/>
      </c>
      <c r="N32" s="12"/>
      <c r="O32" s="12"/>
      <c r="P32" s="14" t="str">
        <f aca="false">IF($A32="","",SUM(L32,O32))</f>
        <v/>
      </c>
    </row>
    <row r="33" customFormat="false" ht="15" hidden="false" customHeight="false" outlineLevel="0" collapsed="false">
      <c r="A33" s="15" t="s">
        <v>73</v>
      </c>
      <c r="B33" s="16"/>
      <c r="C33" s="16" t="n">
        <f aca="false">SUMIFS(C$3:C$32,$B$3:$B$32,"ERPI")</f>
        <v>0</v>
      </c>
      <c r="D33" s="16" t="n">
        <f aca="false">SUMIFS(D$3:D$32,$B$3:$B$32,"ERPI")</f>
        <v>0</v>
      </c>
      <c r="E33" s="16" t="n">
        <f aca="false">SUMIFS(E$3:E$32,$B$3:$B$32,"ERPI")</f>
        <v>0</v>
      </c>
      <c r="F33" s="16" t="n">
        <f aca="false">SUMIFS(F$3:F$32,$B$3:$B$32,"ERPI")</f>
        <v>0</v>
      </c>
      <c r="G33" s="17" t="str">
        <f aca="false">IFERROR(F33/D33,"")</f>
        <v/>
      </c>
      <c r="H33" s="16" t="n">
        <f aca="false">SUMIFS(H$3:H$32,$B$3:$B$32,"ERPI")</f>
        <v>0</v>
      </c>
      <c r="I33" s="16" t="n">
        <f aca="false">SUMIFS(I$3:I$32,$B$3:$B$32,"ERPI")</f>
        <v>0</v>
      </c>
      <c r="J33" s="16" t="n">
        <f aca="false">SUM(F33,I33)</f>
        <v>0</v>
      </c>
      <c r="K33" s="16" t="n">
        <f aca="false">SUMIFS(K$3:K$32,$B$3:$B$32,"ERPI")</f>
        <v>0</v>
      </c>
      <c r="L33" s="16" t="n">
        <f aca="false">SUMIFS(L$3:L$32,$B$3:$B$32,"ERPI")</f>
        <v>0</v>
      </c>
      <c r="M33" s="17" t="str">
        <f aca="false">IFERROR(L33/D33,"")</f>
        <v/>
      </c>
      <c r="N33" s="16" t="n">
        <f aca="false">SUMIFS(N$3:N$32,$B$3:$B$32,"ERPI")</f>
        <v>0</v>
      </c>
      <c r="O33" s="16" t="n">
        <f aca="false">SUMIFS(O$3:O$32,$B$3:$B$32,"ERPI")</f>
        <v>0</v>
      </c>
      <c r="P33" s="16" t="n">
        <f aca="false">SUM(L33,O33)</f>
        <v>0</v>
      </c>
    </row>
    <row r="34" customFormat="false" ht="15" hidden="false" customHeight="false" outlineLevel="0" collapsed="false">
      <c r="A34" s="18" t="s">
        <v>74</v>
      </c>
      <c r="B34" s="19"/>
      <c r="C34" s="19" t="n">
        <f aca="false">C35-C33</f>
        <v>0</v>
      </c>
      <c r="D34" s="19" t="n">
        <f aca="false">D35-D33</f>
        <v>0</v>
      </c>
      <c r="E34" s="19" t="n">
        <f aca="false">E35-E33</f>
        <v>0</v>
      </c>
      <c r="F34" s="19" t="n">
        <f aca="false">F35-F33</f>
        <v>0</v>
      </c>
      <c r="G34" s="20" t="str">
        <f aca="false">IFERROR(F34/D34,"")</f>
        <v/>
      </c>
      <c r="H34" s="19" t="n">
        <f aca="false">H35-H33</f>
        <v>0</v>
      </c>
      <c r="I34" s="19" t="n">
        <f aca="false">I35-I33</f>
        <v>0</v>
      </c>
      <c r="J34" s="19" t="n">
        <f aca="false">SUM(F34,I34)</f>
        <v>0</v>
      </c>
      <c r="K34" s="19" t="n">
        <f aca="false">K35-K33</f>
        <v>0</v>
      </c>
      <c r="L34" s="19" t="n">
        <f aca="false">L35-L33</f>
        <v>0</v>
      </c>
      <c r="M34" s="20" t="str">
        <f aca="false">IFERROR(L34/D34,"")</f>
        <v/>
      </c>
      <c r="N34" s="19" t="n">
        <f aca="false">N35-N33</f>
        <v>0</v>
      </c>
      <c r="O34" s="19" t="n">
        <f aca="false">O35-O33</f>
        <v>0</v>
      </c>
      <c r="P34" s="19" t="n">
        <f aca="false">SUM(L34,O34)</f>
        <v>0</v>
      </c>
    </row>
    <row r="35" customFormat="false" ht="15" hidden="false" customHeight="false" outlineLevel="0" collapsed="false">
      <c r="A35" s="21" t="s">
        <v>75</v>
      </c>
      <c r="B35" s="22"/>
      <c r="C35" s="22" t="n">
        <f aca="false">SUM(C$3:C$32)</f>
        <v>0</v>
      </c>
      <c r="D35" s="22" t="n">
        <f aca="false">SUM(D$3:D$32)</f>
        <v>0</v>
      </c>
      <c r="E35" s="22" t="n">
        <f aca="false">SUM(E$3:E$32)</f>
        <v>0</v>
      </c>
      <c r="F35" s="22" t="n">
        <f aca="false">SUM(F$3:F$32)</f>
        <v>0</v>
      </c>
      <c r="G35" s="23" t="str">
        <f aca="false">IFERROR(F35/D35,"")</f>
        <v/>
      </c>
      <c r="H35" s="22" t="n">
        <f aca="false">SUM(H$3:H$32)</f>
        <v>0</v>
      </c>
      <c r="I35" s="22" t="n">
        <f aca="false">SUM(I$3:I$32)</f>
        <v>0</v>
      </c>
      <c r="J35" s="22" t="n">
        <f aca="false">SUM(F35,I35)</f>
        <v>0</v>
      </c>
      <c r="K35" s="22" t="n">
        <f aca="false">SUM(K$3:K$32)</f>
        <v>0</v>
      </c>
      <c r="L35" s="22" t="n">
        <f aca="false">SUM(L$3:L$32)</f>
        <v>0</v>
      </c>
      <c r="M35" s="23" t="str">
        <f aca="false">IFERROR(L35/D35,"")</f>
        <v/>
      </c>
      <c r="N35" s="22" t="n">
        <f aca="false">SUM(N$3:N$32)</f>
        <v>0</v>
      </c>
      <c r="O35" s="22" t="n">
        <f aca="false">SUM(O$3:O$32)</f>
        <v>0</v>
      </c>
      <c r="P35" s="22" t="n">
        <f aca="false">SUM(L35,O35)</f>
        <v>0</v>
      </c>
    </row>
  </sheetData>
  <sheetProtection sheet="true" formatColumns="false" formatRows="false"/>
  <mergeCells count="2">
    <mergeCell ref="E1:J1"/>
    <mergeCell ref="K1:P1"/>
  </mergeCells>
  <conditionalFormatting sqref="B3:B32">
    <cfRule type="expression" priority="2" aboveAverage="0" equalAverage="0" bottom="0" percent="0" rank="0" text="" dxfId="0">
      <formula>AND($A3&lt;&gt;"",$B3="")</formula>
    </cfRule>
  </conditionalFormatting>
  <conditionalFormatting sqref="E3:E32">
    <cfRule type="expression" priority="3" aboveAverage="0" equalAverage="0" bottom="0" percent="0" rank="0" text="" dxfId="0">
      <formula>AND(E3&lt;&gt;"",E3&gt;$D3)</formula>
    </cfRule>
  </conditionalFormatting>
  <conditionalFormatting sqref="F3:F32">
    <cfRule type="expression" priority="4" aboveAverage="0" equalAverage="0" bottom="0" percent="0" rank="0" text="" dxfId="0">
      <formula>AND(F3&lt;&gt;"",F3&gt;$D3)</formula>
    </cfRule>
  </conditionalFormatting>
  <conditionalFormatting sqref="H3:H32">
    <cfRule type="expression" priority="5" aboveAverage="0" equalAverage="0" bottom="0" percent="0" rank="0" text="" dxfId="0">
      <formula>AND(H3&lt;&gt;"",H3&gt;$C3)</formula>
    </cfRule>
  </conditionalFormatting>
  <conditionalFormatting sqref="I3:I32">
    <cfRule type="expression" priority="6" aboveAverage="0" equalAverage="0" bottom="0" percent="0" rank="0" text="" dxfId="0">
      <formula>AND(I3&lt;&gt;"",I3&gt;$C3)</formula>
    </cfRule>
  </conditionalFormatting>
  <conditionalFormatting sqref="K3:K32">
    <cfRule type="expression" priority="7" aboveAverage="0" equalAverage="0" bottom="0" percent="0" rank="0" text="" dxfId="0">
      <formula>AND(K3&lt;&gt;"",K3&gt;$D3)</formula>
    </cfRule>
  </conditionalFormatting>
  <conditionalFormatting sqref="L3:L32">
    <cfRule type="expression" priority="8" aboveAverage="0" equalAverage="0" bottom="0" percent="0" rank="0" text="" dxfId="0">
      <formula>AND(L3&lt;&gt;"",L3&gt;$D3)</formula>
    </cfRule>
  </conditionalFormatting>
  <conditionalFormatting sqref="N3:N32">
    <cfRule type="expression" priority="9" aboveAverage="0" equalAverage="0" bottom="0" percent="0" rank="0" text="" dxfId="0">
      <formula>AND(N3&lt;&gt;"",N3&gt;$C3)</formula>
    </cfRule>
  </conditionalFormatting>
  <conditionalFormatting sqref="O3:O32">
    <cfRule type="expression" priority="10" aboveAverage="0" equalAverage="0" bottom="0" percent="0" rank="0" text="" dxfId="0">
      <formula>AND(O3&lt;&gt;"",O3&gt;$C3)</formula>
    </cfRule>
  </conditionalFormatting>
  <dataValidations count="1">
    <dataValidation allowBlank="true" error="Escolher: ERPI, CD, Lar Residencial ou UCCI" errorStyle="stop" errorTitle="Tipologia inválida" operator="between" showDropDown="false" showErrorMessage="true" showInputMessage="false" sqref="B3:B32" type="list">
      <formula1>"ERPI,CD,Lar Residencial,UCCI"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5"/>
    <col collapsed="false" customWidth="true" hidden="false" outlineLevel="0" max="16" min="3" style="0" width="13"/>
  </cols>
  <sheetData>
    <row r="1" customFormat="false" ht="15" hidden="false" customHeight="true" outlineLevel="0" collapsed="false">
      <c r="E1" s="7" t="s">
        <v>24</v>
      </c>
      <c r="F1" s="7"/>
      <c r="G1" s="7"/>
      <c r="H1" s="7"/>
      <c r="I1" s="7"/>
      <c r="J1" s="7"/>
      <c r="K1" s="8" t="s">
        <v>25</v>
      </c>
      <c r="L1" s="8"/>
      <c r="M1" s="8"/>
      <c r="N1" s="8"/>
      <c r="O1" s="8"/>
      <c r="P1" s="8"/>
    </row>
    <row r="2" customFormat="false" ht="35.05" hidden="false" customHeight="false" outlineLevel="0" collapsed="false">
      <c r="A2" s="4" t="s">
        <v>26</v>
      </c>
      <c r="B2" s="4" t="s">
        <v>17</v>
      </c>
      <c r="C2" s="4" t="s">
        <v>27</v>
      </c>
      <c r="D2" s="4" t="s">
        <v>19</v>
      </c>
      <c r="E2" s="9" t="s">
        <v>28</v>
      </c>
      <c r="F2" s="9" t="s">
        <v>29</v>
      </c>
      <c r="G2" s="9" t="s">
        <v>30</v>
      </c>
      <c r="H2" s="9" t="s">
        <v>31</v>
      </c>
      <c r="I2" s="9" t="s">
        <v>32</v>
      </c>
      <c r="J2" s="9" t="s">
        <v>33</v>
      </c>
      <c r="K2" s="10" t="s">
        <v>28</v>
      </c>
      <c r="L2" s="10" t="s">
        <v>29</v>
      </c>
      <c r="M2" s="10" t="s">
        <v>30</v>
      </c>
      <c r="N2" s="10" t="s">
        <v>31</v>
      </c>
      <c r="O2" s="10" t="s">
        <v>32</v>
      </c>
      <c r="P2" s="10" t="s">
        <v>33</v>
      </c>
    </row>
    <row r="3" customFormat="false" ht="23.85" hidden="false" customHeight="false" outlineLevel="0" collapsed="false">
      <c r="A3" s="11" t="s">
        <v>116</v>
      </c>
      <c r="B3" s="12" t="s">
        <v>23</v>
      </c>
      <c r="C3" s="12"/>
      <c r="D3" s="12"/>
      <c r="E3" s="12"/>
      <c r="F3" s="12"/>
      <c r="G3" s="13" t="str">
        <f aca="false">IF($A3="","",IFERROR(F3/$D3,""))</f>
        <v/>
      </c>
      <c r="H3" s="12"/>
      <c r="I3" s="12"/>
      <c r="J3" s="14" t="n">
        <f aca="false">IF($A3="","",SUM(F3,I3))</f>
        <v>0</v>
      </c>
      <c r="K3" s="12"/>
      <c r="L3" s="12"/>
      <c r="M3" s="13" t="str">
        <f aca="false">IF($A3="","",IFERROR(L3/$D3,""))</f>
        <v/>
      </c>
      <c r="N3" s="12"/>
      <c r="O3" s="12"/>
      <c r="P3" s="14" t="n">
        <f aca="false">IF($A3="","",SUM(L3,O3))</f>
        <v>0</v>
      </c>
    </row>
    <row r="4" customFormat="false" ht="15" hidden="false" customHeight="false" outlineLevel="0" collapsed="false">
      <c r="A4" s="11" t="s">
        <v>117</v>
      </c>
      <c r="B4" s="12" t="s">
        <v>23</v>
      </c>
      <c r="C4" s="12"/>
      <c r="D4" s="12"/>
      <c r="E4" s="12"/>
      <c r="F4" s="12"/>
      <c r="G4" s="13" t="str">
        <f aca="false">IF($A4="","",IFERROR(F4/$D4,""))</f>
        <v/>
      </c>
      <c r="H4" s="12"/>
      <c r="I4" s="12"/>
      <c r="J4" s="14" t="n">
        <f aca="false">IF($A4="","",SUM(F4,I4))</f>
        <v>0</v>
      </c>
      <c r="K4" s="12"/>
      <c r="L4" s="12"/>
      <c r="M4" s="13" t="str">
        <f aca="false">IF($A4="","",IFERROR(L4/$D4,""))</f>
        <v/>
      </c>
      <c r="N4" s="12"/>
      <c r="O4" s="12"/>
      <c r="P4" s="14" t="n">
        <f aca="false">IF($A4="","",SUM(L4,O4))</f>
        <v>0</v>
      </c>
    </row>
    <row r="5" customFormat="false" ht="15" hidden="false" customHeight="false" outlineLevel="0" collapsed="false">
      <c r="A5" s="11" t="s">
        <v>118</v>
      </c>
      <c r="B5" s="12" t="s">
        <v>23</v>
      </c>
      <c r="C5" s="12"/>
      <c r="D5" s="12"/>
      <c r="E5" s="12"/>
      <c r="F5" s="12"/>
      <c r="G5" s="13" t="str">
        <f aca="false">IF($A5="","",IFERROR(F5/$D5,""))</f>
        <v/>
      </c>
      <c r="H5" s="12"/>
      <c r="I5" s="12"/>
      <c r="J5" s="14" t="n">
        <f aca="false">IF($A5="","",SUM(F5,I5))</f>
        <v>0</v>
      </c>
      <c r="K5" s="12"/>
      <c r="L5" s="12"/>
      <c r="M5" s="13" t="str">
        <f aca="false">IF($A5="","",IFERROR(L5/$D5,""))</f>
        <v/>
      </c>
      <c r="N5" s="12"/>
      <c r="O5" s="12"/>
      <c r="P5" s="14" t="n">
        <f aca="false">IF($A5="","",SUM(L5,O5))</f>
        <v>0</v>
      </c>
    </row>
    <row r="6" customFormat="false" ht="23.85" hidden="false" customHeight="false" outlineLevel="0" collapsed="false">
      <c r="A6" s="11" t="s">
        <v>119</v>
      </c>
      <c r="B6" s="12" t="s">
        <v>23</v>
      </c>
      <c r="C6" s="12"/>
      <c r="D6" s="12"/>
      <c r="E6" s="12"/>
      <c r="F6" s="12"/>
      <c r="G6" s="13" t="str">
        <f aca="false">IF($A6="","",IFERROR(F6/$D6,""))</f>
        <v/>
      </c>
      <c r="H6" s="12"/>
      <c r="I6" s="12"/>
      <c r="J6" s="14" t="n">
        <f aca="false">IF($A6="","",SUM(F6,I6))</f>
        <v>0</v>
      </c>
      <c r="K6" s="12"/>
      <c r="L6" s="12"/>
      <c r="M6" s="13" t="str">
        <f aca="false">IF($A6="","",IFERROR(L6/$D6,""))</f>
        <v/>
      </c>
      <c r="N6" s="12"/>
      <c r="O6" s="12"/>
      <c r="P6" s="14" t="n">
        <f aca="false">IF($A6="","",SUM(L6,O6))</f>
        <v>0</v>
      </c>
    </row>
    <row r="7" customFormat="false" ht="15" hidden="false" customHeight="false" outlineLevel="0" collapsed="false">
      <c r="A7" s="11" t="s">
        <v>120</v>
      </c>
      <c r="B7" s="12" t="s">
        <v>23</v>
      </c>
      <c r="C7" s="12"/>
      <c r="D7" s="12"/>
      <c r="E7" s="12"/>
      <c r="F7" s="12"/>
      <c r="G7" s="13" t="str">
        <f aca="false">IF($A7="","",IFERROR(F7/$D7,""))</f>
        <v/>
      </c>
      <c r="H7" s="12"/>
      <c r="I7" s="12"/>
      <c r="J7" s="14" t="n">
        <f aca="false">IF($A7="","",SUM(F7,I7))</f>
        <v>0</v>
      </c>
      <c r="K7" s="12"/>
      <c r="L7" s="12"/>
      <c r="M7" s="13" t="str">
        <f aca="false">IF($A7="","",IFERROR(L7/$D7,""))</f>
        <v/>
      </c>
      <c r="N7" s="12"/>
      <c r="O7" s="12"/>
      <c r="P7" s="14" t="n">
        <f aca="false">IF($A7="","",SUM(L7,O7))</f>
        <v>0</v>
      </c>
    </row>
    <row r="8" customFormat="false" ht="15" hidden="false" customHeight="false" outlineLevel="0" collapsed="false">
      <c r="A8" s="11" t="s">
        <v>121</v>
      </c>
      <c r="B8" s="12" t="s">
        <v>23</v>
      </c>
      <c r="C8" s="12"/>
      <c r="D8" s="12"/>
      <c r="E8" s="12"/>
      <c r="F8" s="12"/>
      <c r="G8" s="13" t="str">
        <f aca="false">IF($A8="","",IFERROR(F8/$D8,""))</f>
        <v/>
      </c>
      <c r="H8" s="12"/>
      <c r="I8" s="12"/>
      <c r="J8" s="14" t="n">
        <f aca="false">IF($A8="","",SUM(F8,I8))</f>
        <v>0</v>
      </c>
      <c r="K8" s="12"/>
      <c r="L8" s="12"/>
      <c r="M8" s="13" t="str">
        <f aca="false">IF($A8="","",IFERROR(L8/$D8,""))</f>
        <v/>
      </c>
      <c r="N8" s="12"/>
      <c r="O8" s="12"/>
      <c r="P8" s="14" t="n">
        <f aca="false">IF($A8="","",SUM(L8,O8))</f>
        <v>0</v>
      </c>
    </row>
    <row r="9" customFormat="false" ht="15" hidden="false" customHeight="false" outlineLevel="0" collapsed="false">
      <c r="A9" s="11" t="s">
        <v>122</v>
      </c>
      <c r="B9" s="12" t="s">
        <v>23</v>
      </c>
      <c r="C9" s="12"/>
      <c r="D9" s="12"/>
      <c r="E9" s="12"/>
      <c r="F9" s="12"/>
      <c r="G9" s="13" t="str">
        <f aca="false">IF($A9="","",IFERROR(F9/$D9,""))</f>
        <v/>
      </c>
      <c r="H9" s="12"/>
      <c r="I9" s="12"/>
      <c r="J9" s="14" t="n">
        <f aca="false">IF($A9="","",SUM(F9,I9))</f>
        <v>0</v>
      </c>
      <c r="K9" s="12"/>
      <c r="L9" s="12"/>
      <c r="M9" s="13" t="str">
        <f aca="false">IF($A9="","",IFERROR(L9/$D9,""))</f>
        <v/>
      </c>
      <c r="N9" s="12"/>
      <c r="O9" s="12"/>
      <c r="P9" s="14" t="n">
        <f aca="false">IF($A9="","",SUM(L9,O9))</f>
        <v>0</v>
      </c>
    </row>
    <row r="10" customFormat="false" ht="15" hidden="false" customHeight="false" outlineLevel="0" collapsed="false">
      <c r="A10" s="11" t="s">
        <v>123</v>
      </c>
      <c r="B10" s="12" t="s">
        <v>23</v>
      </c>
      <c r="C10" s="12"/>
      <c r="D10" s="12"/>
      <c r="E10" s="12"/>
      <c r="F10" s="12"/>
      <c r="G10" s="13" t="str">
        <f aca="false">IF($A10="","",IFERROR(F10/$D10,""))</f>
        <v/>
      </c>
      <c r="H10" s="12"/>
      <c r="I10" s="12"/>
      <c r="J10" s="14" t="n">
        <f aca="false">IF($A10="","",SUM(F10,I10))</f>
        <v>0</v>
      </c>
      <c r="K10" s="12"/>
      <c r="L10" s="12"/>
      <c r="M10" s="13" t="str">
        <f aca="false">IF($A10="","",IFERROR(L10/$D10,""))</f>
        <v/>
      </c>
      <c r="N10" s="12"/>
      <c r="O10" s="12"/>
      <c r="P10" s="14" t="n">
        <f aca="false">IF($A10="","",SUM(L10,O10))</f>
        <v>0</v>
      </c>
    </row>
    <row r="11" customFormat="false" ht="15" hidden="false" customHeight="false" outlineLevel="0" collapsed="false">
      <c r="A11" s="11" t="s">
        <v>124</v>
      </c>
      <c r="B11" s="12" t="s">
        <v>23</v>
      </c>
      <c r="C11" s="12"/>
      <c r="D11" s="12"/>
      <c r="E11" s="12"/>
      <c r="F11" s="12"/>
      <c r="G11" s="13" t="str">
        <f aca="false">IF($A11="","",IFERROR(F11/$D11,""))</f>
        <v/>
      </c>
      <c r="H11" s="12"/>
      <c r="I11" s="12"/>
      <c r="J11" s="14" t="n">
        <f aca="false">IF($A11="","",SUM(F11,I11))</f>
        <v>0</v>
      </c>
      <c r="K11" s="12"/>
      <c r="L11" s="12"/>
      <c r="M11" s="13" t="str">
        <f aca="false">IF($A11="","",IFERROR(L11/$D11,""))</f>
        <v/>
      </c>
      <c r="N11" s="12"/>
      <c r="O11" s="12"/>
      <c r="P11" s="14" t="n">
        <f aca="false">IF($A11="","",SUM(L11,O11))</f>
        <v>0</v>
      </c>
    </row>
    <row r="12" customFormat="false" ht="15" hidden="false" customHeight="false" outlineLevel="0" collapsed="false">
      <c r="A12" s="11" t="s">
        <v>125</v>
      </c>
      <c r="B12" s="12" t="s">
        <v>23</v>
      </c>
      <c r="C12" s="12"/>
      <c r="D12" s="12"/>
      <c r="E12" s="12"/>
      <c r="F12" s="12"/>
      <c r="G12" s="13" t="str">
        <f aca="false">IF($A12="","",IFERROR(F12/$D12,""))</f>
        <v/>
      </c>
      <c r="H12" s="12"/>
      <c r="I12" s="12"/>
      <c r="J12" s="14" t="n">
        <f aca="false">IF($A12="","",SUM(F12,I12))</f>
        <v>0</v>
      </c>
      <c r="K12" s="12"/>
      <c r="L12" s="12"/>
      <c r="M12" s="13" t="str">
        <f aca="false">IF($A12="","",IFERROR(L12/$D12,""))</f>
        <v/>
      </c>
      <c r="N12" s="12"/>
      <c r="O12" s="12"/>
      <c r="P12" s="14" t="n">
        <f aca="false">IF($A12="","",SUM(L12,O12))</f>
        <v>0</v>
      </c>
    </row>
    <row r="13" customFormat="false" ht="15" hidden="false" customHeight="false" outlineLevel="0" collapsed="false">
      <c r="A13" s="11" t="s">
        <v>126</v>
      </c>
      <c r="B13" s="12" t="s">
        <v>23</v>
      </c>
      <c r="C13" s="12"/>
      <c r="D13" s="12"/>
      <c r="E13" s="12"/>
      <c r="F13" s="12"/>
      <c r="G13" s="13" t="str">
        <f aca="false">IF($A13="","",IFERROR(F13/$D13,""))</f>
        <v/>
      </c>
      <c r="H13" s="12"/>
      <c r="I13" s="12"/>
      <c r="J13" s="14" t="n">
        <f aca="false">IF($A13="","",SUM(F13,I13))</f>
        <v>0</v>
      </c>
      <c r="K13" s="12"/>
      <c r="L13" s="12"/>
      <c r="M13" s="13" t="str">
        <f aca="false">IF($A13="","",IFERROR(L13/$D13,""))</f>
        <v/>
      </c>
      <c r="N13" s="12"/>
      <c r="O13" s="12"/>
      <c r="P13" s="14" t="n">
        <f aca="false">IF($A13="","",SUM(L13,O13))</f>
        <v>0</v>
      </c>
    </row>
    <row r="14" customFormat="false" ht="15" hidden="false" customHeight="false" outlineLevel="0" collapsed="false">
      <c r="A14" s="11" t="s">
        <v>127</v>
      </c>
      <c r="B14" s="12" t="s">
        <v>23</v>
      </c>
      <c r="C14" s="12"/>
      <c r="D14" s="12"/>
      <c r="E14" s="12"/>
      <c r="F14" s="12"/>
      <c r="G14" s="13" t="str">
        <f aca="false">IF($A14="","",IFERROR(F14/$D14,""))</f>
        <v/>
      </c>
      <c r="H14" s="12"/>
      <c r="I14" s="12"/>
      <c r="J14" s="14" t="n">
        <f aca="false">IF($A14="","",SUM(F14,I14))</f>
        <v>0</v>
      </c>
      <c r="K14" s="12"/>
      <c r="L14" s="12"/>
      <c r="M14" s="13" t="str">
        <f aca="false">IF($A14="","",IFERROR(L14/$D14,""))</f>
        <v/>
      </c>
      <c r="N14" s="12"/>
      <c r="O14" s="12"/>
      <c r="P14" s="14" t="n">
        <f aca="false">IF($A14="","",SUM(L14,O14))</f>
        <v>0</v>
      </c>
    </row>
    <row r="15" customFormat="false" ht="23.85" hidden="false" customHeight="false" outlineLevel="0" collapsed="false">
      <c r="A15" s="11" t="s">
        <v>128</v>
      </c>
      <c r="B15" s="12" t="s">
        <v>23</v>
      </c>
      <c r="C15" s="12"/>
      <c r="D15" s="12"/>
      <c r="E15" s="12"/>
      <c r="F15" s="12"/>
      <c r="G15" s="13" t="str">
        <f aca="false">IF($A15="","",IFERROR(F15/$D15,""))</f>
        <v/>
      </c>
      <c r="H15" s="12"/>
      <c r="I15" s="12"/>
      <c r="J15" s="14" t="n">
        <f aca="false">IF($A15="","",SUM(F15,I15))</f>
        <v>0</v>
      </c>
      <c r="K15" s="12"/>
      <c r="L15" s="12"/>
      <c r="M15" s="13" t="str">
        <f aca="false">IF($A15="","",IFERROR(L15/$D15,""))</f>
        <v/>
      </c>
      <c r="N15" s="12"/>
      <c r="O15" s="12"/>
      <c r="P15" s="14" t="n">
        <f aca="false">IF($A15="","",SUM(L15,O15))</f>
        <v>0</v>
      </c>
    </row>
    <row r="16" customFormat="false" ht="15" hidden="false" customHeight="false" outlineLevel="0" collapsed="false">
      <c r="A16" s="11" t="s">
        <v>129</v>
      </c>
      <c r="B16" s="12" t="s">
        <v>23</v>
      </c>
      <c r="C16" s="12"/>
      <c r="D16" s="12"/>
      <c r="E16" s="12"/>
      <c r="F16" s="12"/>
      <c r="G16" s="13" t="str">
        <f aca="false">IF($A16="","",IFERROR(F16/$D16,""))</f>
        <v/>
      </c>
      <c r="H16" s="12"/>
      <c r="I16" s="12"/>
      <c r="J16" s="14" t="n">
        <f aca="false">IF($A16="","",SUM(F16,I16))</f>
        <v>0</v>
      </c>
      <c r="K16" s="12"/>
      <c r="L16" s="12"/>
      <c r="M16" s="13" t="str">
        <f aca="false">IF($A16="","",IFERROR(L16/$D16,""))</f>
        <v/>
      </c>
      <c r="N16" s="12"/>
      <c r="O16" s="12"/>
      <c r="P16" s="14" t="n">
        <f aca="false">IF($A16="","",SUM(L16,O16))</f>
        <v>0</v>
      </c>
    </row>
    <row r="17" customFormat="false" ht="15" hidden="false" customHeight="false" outlineLevel="0" collapsed="false">
      <c r="A17" s="11" t="s">
        <v>130</v>
      </c>
      <c r="B17" s="12" t="s">
        <v>23</v>
      </c>
      <c r="C17" s="12"/>
      <c r="D17" s="12"/>
      <c r="E17" s="12"/>
      <c r="F17" s="12"/>
      <c r="G17" s="13" t="str">
        <f aca="false">IF($A17="","",IFERROR(F17/$D17,""))</f>
        <v/>
      </c>
      <c r="H17" s="12"/>
      <c r="I17" s="12"/>
      <c r="J17" s="14" t="n">
        <f aca="false">IF($A17="","",SUM(F17,I17))</f>
        <v>0</v>
      </c>
      <c r="K17" s="12"/>
      <c r="L17" s="12"/>
      <c r="M17" s="13" t="str">
        <f aca="false">IF($A17="","",IFERROR(L17/$D17,""))</f>
        <v/>
      </c>
      <c r="N17" s="12"/>
      <c r="O17" s="12"/>
      <c r="P17" s="14" t="n">
        <f aca="false">IF($A17="","",SUM(L17,O17))</f>
        <v>0</v>
      </c>
    </row>
    <row r="18" customFormat="false" ht="15" hidden="false" customHeight="false" outlineLevel="0" collapsed="false">
      <c r="A18" s="11" t="s">
        <v>131</v>
      </c>
      <c r="B18" s="12" t="s">
        <v>23</v>
      </c>
      <c r="C18" s="12"/>
      <c r="D18" s="12"/>
      <c r="E18" s="12"/>
      <c r="F18" s="12"/>
      <c r="G18" s="13" t="str">
        <f aca="false">IF($A18="","",IFERROR(F18/$D18,""))</f>
        <v/>
      </c>
      <c r="H18" s="12"/>
      <c r="I18" s="12"/>
      <c r="J18" s="14" t="n">
        <f aca="false">IF($A18="","",SUM(F18,I18))</f>
        <v>0</v>
      </c>
      <c r="K18" s="12"/>
      <c r="L18" s="12"/>
      <c r="M18" s="13" t="str">
        <f aca="false">IF($A18="","",IFERROR(L18/$D18,""))</f>
        <v/>
      </c>
      <c r="N18" s="12"/>
      <c r="O18" s="12"/>
      <c r="P18" s="14" t="n">
        <f aca="false">IF($A18="","",SUM(L18,O18))</f>
        <v>0</v>
      </c>
    </row>
    <row r="19" customFormat="false" ht="23.85" hidden="false" customHeight="false" outlineLevel="0" collapsed="false">
      <c r="A19" s="11" t="s">
        <v>132</v>
      </c>
      <c r="B19" s="12" t="s">
        <v>51</v>
      </c>
      <c r="C19" s="12"/>
      <c r="D19" s="12"/>
      <c r="E19" s="12"/>
      <c r="F19" s="12"/>
      <c r="G19" s="13" t="str">
        <f aca="false">IF($A19="","",IFERROR(F19/$D19,""))</f>
        <v/>
      </c>
      <c r="H19" s="12"/>
      <c r="I19" s="12"/>
      <c r="J19" s="14" t="n">
        <f aca="false">IF($A19="","",SUM(F19,I19))</f>
        <v>0</v>
      </c>
      <c r="K19" s="12"/>
      <c r="L19" s="12"/>
      <c r="M19" s="13" t="str">
        <f aca="false">IF($A19="","",IFERROR(L19/$D19,""))</f>
        <v/>
      </c>
      <c r="N19" s="12"/>
      <c r="O19" s="12"/>
      <c r="P19" s="14" t="n">
        <f aca="false">IF($A19="","",SUM(L19,O19))</f>
        <v>0</v>
      </c>
    </row>
    <row r="20" customFormat="false" ht="15" hidden="false" customHeight="false" outlineLevel="0" collapsed="false">
      <c r="A20" s="11" t="s">
        <v>133</v>
      </c>
      <c r="B20" s="12" t="s">
        <v>51</v>
      </c>
      <c r="C20" s="12"/>
      <c r="D20" s="12"/>
      <c r="E20" s="12"/>
      <c r="F20" s="12"/>
      <c r="G20" s="13" t="str">
        <f aca="false">IF($A20="","",IFERROR(F20/$D20,""))</f>
        <v/>
      </c>
      <c r="H20" s="12"/>
      <c r="I20" s="12"/>
      <c r="J20" s="14" t="n">
        <f aca="false">IF($A20="","",SUM(F20,I20))</f>
        <v>0</v>
      </c>
      <c r="K20" s="12"/>
      <c r="L20" s="12"/>
      <c r="M20" s="13" t="str">
        <f aca="false">IF($A20="","",IFERROR(L20/$D20,""))</f>
        <v/>
      </c>
      <c r="N20" s="12"/>
      <c r="O20" s="12"/>
      <c r="P20" s="14" t="n">
        <f aca="false">IF($A20="","",SUM(L20,O20))</f>
        <v>0</v>
      </c>
    </row>
    <row r="21" customFormat="false" ht="15" hidden="false" customHeight="false" outlineLevel="0" collapsed="false">
      <c r="A21" s="11" t="s">
        <v>134</v>
      </c>
      <c r="B21" s="12" t="s">
        <v>51</v>
      </c>
      <c r="C21" s="12"/>
      <c r="D21" s="12"/>
      <c r="E21" s="12"/>
      <c r="F21" s="12"/>
      <c r="G21" s="13" t="str">
        <f aca="false">IF($A21="","",IFERROR(F21/$D21,""))</f>
        <v/>
      </c>
      <c r="H21" s="12"/>
      <c r="I21" s="12"/>
      <c r="J21" s="14" t="n">
        <f aca="false">IF($A21="","",SUM(F21,I21))</f>
        <v>0</v>
      </c>
      <c r="K21" s="12"/>
      <c r="L21" s="12"/>
      <c r="M21" s="13" t="str">
        <f aca="false">IF($A21="","",IFERROR(L21/$D21,""))</f>
        <v/>
      </c>
      <c r="N21" s="12"/>
      <c r="O21" s="12"/>
      <c r="P21" s="14" t="n">
        <f aca="false">IF($A21="","",SUM(L21,O21))</f>
        <v>0</v>
      </c>
    </row>
    <row r="22" customFormat="false" ht="23.85" hidden="false" customHeight="false" outlineLevel="0" collapsed="false">
      <c r="A22" s="11" t="s">
        <v>135</v>
      </c>
      <c r="B22" s="12" t="s">
        <v>51</v>
      </c>
      <c r="C22" s="12"/>
      <c r="D22" s="12"/>
      <c r="E22" s="12"/>
      <c r="F22" s="12"/>
      <c r="G22" s="13" t="str">
        <f aca="false">IF($A22="","",IFERROR(F22/$D22,""))</f>
        <v/>
      </c>
      <c r="H22" s="12"/>
      <c r="I22" s="12"/>
      <c r="J22" s="14" t="n">
        <f aca="false">IF($A22="","",SUM(F22,I22))</f>
        <v>0</v>
      </c>
      <c r="K22" s="12"/>
      <c r="L22" s="12"/>
      <c r="M22" s="13" t="str">
        <f aca="false">IF($A22="","",IFERROR(L22/$D22,""))</f>
        <v/>
      </c>
      <c r="N22" s="12"/>
      <c r="O22" s="12"/>
      <c r="P22" s="14" t="n">
        <f aca="false">IF($A22="","",SUM(L22,O22))</f>
        <v>0</v>
      </c>
    </row>
    <row r="23" customFormat="false" ht="15" hidden="false" customHeight="false" outlineLevel="0" collapsed="false">
      <c r="A23" s="11" t="s">
        <v>136</v>
      </c>
      <c r="B23" s="12" t="s">
        <v>51</v>
      </c>
      <c r="C23" s="12"/>
      <c r="D23" s="12"/>
      <c r="E23" s="12"/>
      <c r="F23" s="12"/>
      <c r="G23" s="13" t="str">
        <f aca="false">IF($A23="","",IFERROR(F23/$D23,""))</f>
        <v/>
      </c>
      <c r="H23" s="12"/>
      <c r="I23" s="12"/>
      <c r="J23" s="14" t="n">
        <f aca="false">IF($A23="","",SUM(F23,I23))</f>
        <v>0</v>
      </c>
      <c r="K23" s="12"/>
      <c r="L23" s="12"/>
      <c r="M23" s="13" t="str">
        <f aca="false">IF($A23="","",IFERROR(L23/$D23,""))</f>
        <v/>
      </c>
      <c r="N23" s="12"/>
      <c r="O23" s="12"/>
      <c r="P23" s="14" t="n">
        <f aca="false">IF($A23="","",SUM(L23,O23))</f>
        <v>0</v>
      </c>
    </row>
    <row r="24" customFormat="false" ht="15" hidden="false" customHeight="false" outlineLevel="0" collapsed="false">
      <c r="A24" s="11" t="s">
        <v>137</v>
      </c>
      <c r="B24" s="12" t="s">
        <v>51</v>
      </c>
      <c r="C24" s="12"/>
      <c r="D24" s="12"/>
      <c r="E24" s="12"/>
      <c r="F24" s="12"/>
      <c r="G24" s="13" t="str">
        <f aca="false">IF($A24="","",IFERROR(F24/$D24,""))</f>
        <v/>
      </c>
      <c r="H24" s="12"/>
      <c r="I24" s="12"/>
      <c r="J24" s="14" t="n">
        <f aca="false">IF($A24="","",SUM(F24,I24))</f>
        <v>0</v>
      </c>
      <c r="K24" s="12"/>
      <c r="L24" s="12"/>
      <c r="M24" s="13" t="str">
        <f aca="false">IF($A24="","",IFERROR(L24/$D24,""))</f>
        <v/>
      </c>
      <c r="N24" s="12"/>
      <c r="O24" s="12"/>
      <c r="P24" s="14" t="n">
        <f aca="false">IF($A24="","",SUM(L24,O24))</f>
        <v>0</v>
      </c>
    </row>
    <row r="25" customFormat="false" ht="15" hidden="false" customHeight="false" outlineLevel="0" collapsed="false">
      <c r="A25" s="11" t="s">
        <v>138</v>
      </c>
      <c r="B25" s="12" t="s">
        <v>51</v>
      </c>
      <c r="C25" s="12"/>
      <c r="D25" s="12"/>
      <c r="E25" s="12"/>
      <c r="F25" s="12"/>
      <c r="G25" s="13" t="str">
        <f aca="false">IF($A25="","",IFERROR(F25/$D25,""))</f>
        <v/>
      </c>
      <c r="H25" s="12"/>
      <c r="I25" s="12"/>
      <c r="J25" s="14" t="n">
        <f aca="false">IF($A25="","",SUM(F25,I25))</f>
        <v>0</v>
      </c>
      <c r="K25" s="12"/>
      <c r="L25" s="12"/>
      <c r="M25" s="13" t="str">
        <f aca="false">IF($A25="","",IFERROR(L25/$D25,""))</f>
        <v/>
      </c>
      <c r="N25" s="12"/>
      <c r="O25" s="12"/>
      <c r="P25" s="14" t="n">
        <f aca="false">IF($A25="","",SUM(L25,O25))</f>
        <v>0</v>
      </c>
    </row>
    <row r="26" customFormat="false" ht="15" hidden="false" customHeight="false" outlineLevel="0" collapsed="false">
      <c r="A26" s="11" t="s">
        <v>139</v>
      </c>
      <c r="B26" s="12" t="s">
        <v>51</v>
      </c>
      <c r="C26" s="12"/>
      <c r="D26" s="12"/>
      <c r="E26" s="12"/>
      <c r="F26" s="12"/>
      <c r="G26" s="13" t="str">
        <f aca="false">IF($A26="","",IFERROR(F26/$D26,""))</f>
        <v/>
      </c>
      <c r="H26" s="12"/>
      <c r="I26" s="12"/>
      <c r="J26" s="14" t="n">
        <f aca="false">IF($A26="","",SUM(F26,I26))</f>
        <v>0</v>
      </c>
      <c r="K26" s="12"/>
      <c r="L26" s="12"/>
      <c r="M26" s="13" t="str">
        <f aca="false">IF($A26="","",IFERROR(L26/$D26,""))</f>
        <v/>
      </c>
      <c r="N26" s="12"/>
      <c r="O26" s="12"/>
      <c r="P26" s="14" t="n">
        <f aca="false">IF($A26="","",SUM(L26,O26))</f>
        <v>0</v>
      </c>
    </row>
    <row r="27" customFormat="false" ht="15" hidden="false" customHeight="false" outlineLevel="0" collapsed="false">
      <c r="A27" s="11" t="s">
        <v>140</v>
      </c>
      <c r="B27" s="12" t="s">
        <v>51</v>
      </c>
      <c r="C27" s="12"/>
      <c r="D27" s="12"/>
      <c r="E27" s="12"/>
      <c r="F27" s="12"/>
      <c r="G27" s="13" t="str">
        <f aca="false">IF($A27="","",IFERROR(F27/$D27,""))</f>
        <v/>
      </c>
      <c r="H27" s="12"/>
      <c r="I27" s="12"/>
      <c r="J27" s="14" t="n">
        <f aca="false">IF($A27="","",SUM(F27,I27))</f>
        <v>0</v>
      </c>
      <c r="K27" s="12"/>
      <c r="L27" s="12"/>
      <c r="M27" s="13" t="str">
        <f aca="false">IF($A27="","",IFERROR(L27/$D27,""))</f>
        <v/>
      </c>
      <c r="N27" s="12"/>
      <c r="O27" s="12"/>
      <c r="P27" s="14" t="n">
        <f aca="false">IF($A27="","",SUM(L27,O27))</f>
        <v>0</v>
      </c>
    </row>
    <row r="28" customFormat="false" ht="15" hidden="false" customHeight="false" outlineLevel="0" collapsed="false">
      <c r="A28" s="11" t="s">
        <v>141</v>
      </c>
      <c r="B28" s="12" t="s">
        <v>51</v>
      </c>
      <c r="C28" s="12"/>
      <c r="D28" s="12"/>
      <c r="E28" s="12"/>
      <c r="F28" s="12"/>
      <c r="G28" s="13" t="str">
        <f aca="false">IF($A28="","",IFERROR(F28/$D28,""))</f>
        <v/>
      </c>
      <c r="H28" s="12"/>
      <c r="I28" s="12"/>
      <c r="J28" s="14" t="n">
        <f aca="false">IF($A28="","",SUM(F28,I28))</f>
        <v>0</v>
      </c>
      <c r="K28" s="12"/>
      <c r="L28" s="12"/>
      <c r="M28" s="13" t="str">
        <f aca="false">IF($A28="","",IFERROR(L28/$D28,""))</f>
        <v/>
      </c>
      <c r="N28" s="12"/>
      <c r="O28" s="12"/>
      <c r="P28" s="14" t="n">
        <f aca="false">IF($A28="","",SUM(L28,O28))</f>
        <v>0</v>
      </c>
    </row>
    <row r="29" customFormat="false" ht="15" hidden="false" customHeight="false" outlineLevel="0" collapsed="false">
      <c r="A29" s="11" t="s">
        <v>142</v>
      </c>
      <c r="B29" s="12" t="s">
        <v>51</v>
      </c>
      <c r="C29" s="12"/>
      <c r="D29" s="12"/>
      <c r="E29" s="12"/>
      <c r="F29" s="12"/>
      <c r="G29" s="13" t="str">
        <f aca="false">IF($A29="","",IFERROR(F29/$D29,""))</f>
        <v/>
      </c>
      <c r="H29" s="12"/>
      <c r="I29" s="12"/>
      <c r="J29" s="14" t="n">
        <f aca="false">IF($A29="","",SUM(F29,I29))</f>
        <v>0</v>
      </c>
      <c r="K29" s="12"/>
      <c r="L29" s="12"/>
      <c r="M29" s="13" t="str">
        <f aca="false">IF($A29="","",IFERROR(L29/$D29,""))</f>
        <v/>
      </c>
      <c r="N29" s="12"/>
      <c r="O29" s="12"/>
      <c r="P29" s="14" t="n">
        <f aca="false">IF($A29="","",SUM(L29,O29))</f>
        <v>0</v>
      </c>
    </row>
    <row r="30" customFormat="false" ht="15" hidden="false" customHeight="false" outlineLevel="0" collapsed="false">
      <c r="A30" s="11" t="s">
        <v>143</v>
      </c>
      <c r="B30" s="12" t="s">
        <v>51</v>
      </c>
      <c r="C30" s="12"/>
      <c r="D30" s="12"/>
      <c r="E30" s="12"/>
      <c r="F30" s="12"/>
      <c r="G30" s="13" t="str">
        <f aca="false">IF($A30="","",IFERROR(F30/$D30,""))</f>
        <v/>
      </c>
      <c r="H30" s="12"/>
      <c r="I30" s="12"/>
      <c r="J30" s="14" t="n">
        <f aca="false">IF($A30="","",SUM(F30,I30))</f>
        <v>0</v>
      </c>
      <c r="K30" s="12"/>
      <c r="L30" s="12"/>
      <c r="M30" s="13" t="str">
        <f aca="false">IF($A30="","",IFERROR(L30/$D30,""))</f>
        <v/>
      </c>
      <c r="N30" s="12"/>
      <c r="O30" s="12"/>
      <c r="P30" s="14" t="n">
        <f aca="false">IF($A30="","",SUM(L30,O30))</f>
        <v>0</v>
      </c>
    </row>
    <row r="31" customFormat="false" ht="15" hidden="false" customHeight="false" outlineLevel="0" collapsed="false">
      <c r="A31" s="11" t="s">
        <v>144</v>
      </c>
      <c r="B31" s="12" t="s">
        <v>51</v>
      </c>
      <c r="C31" s="12"/>
      <c r="D31" s="12"/>
      <c r="E31" s="12"/>
      <c r="F31" s="12"/>
      <c r="G31" s="13" t="str">
        <f aca="false">IF($A31="","",IFERROR(F31/$D31,""))</f>
        <v/>
      </c>
      <c r="H31" s="12"/>
      <c r="I31" s="12"/>
      <c r="J31" s="14" t="n">
        <f aca="false">IF($A31="","",SUM(F31,I31))</f>
        <v>0</v>
      </c>
      <c r="K31" s="12"/>
      <c r="L31" s="12"/>
      <c r="M31" s="13" t="str">
        <f aca="false">IF($A31="","",IFERROR(L31/$D31,""))</f>
        <v/>
      </c>
      <c r="N31" s="12"/>
      <c r="O31" s="12"/>
      <c r="P31" s="14" t="n">
        <f aca="false">IF($A31="","",SUM(L31,O31))</f>
        <v>0</v>
      </c>
    </row>
    <row r="32" customFormat="false" ht="15" hidden="false" customHeight="false" outlineLevel="0" collapsed="false">
      <c r="A32" s="11" t="s">
        <v>145</v>
      </c>
      <c r="B32" s="12" t="s">
        <v>51</v>
      </c>
      <c r="C32" s="12"/>
      <c r="D32" s="12"/>
      <c r="E32" s="12"/>
      <c r="F32" s="12"/>
      <c r="G32" s="13" t="str">
        <f aca="false">IF($A32="","",IFERROR(F32/$D32,""))</f>
        <v/>
      </c>
      <c r="H32" s="12"/>
      <c r="I32" s="12"/>
      <c r="J32" s="14" t="n">
        <f aca="false">IF($A32="","",SUM(F32,I32))</f>
        <v>0</v>
      </c>
      <c r="K32" s="12"/>
      <c r="L32" s="12"/>
      <c r="M32" s="13" t="str">
        <f aca="false">IF($A32="","",IFERROR(L32/$D32,""))</f>
        <v/>
      </c>
      <c r="N32" s="12"/>
      <c r="O32" s="12"/>
      <c r="P32" s="14" t="n">
        <f aca="false">IF($A32="","",SUM(L32,O32))</f>
        <v>0</v>
      </c>
    </row>
    <row r="33" customFormat="false" ht="15" hidden="false" customHeight="false" outlineLevel="0" collapsed="false">
      <c r="A33" s="11" t="s">
        <v>146</v>
      </c>
      <c r="B33" s="12" t="s">
        <v>51</v>
      </c>
      <c r="C33" s="12"/>
      <c r="D33" s="12"/>
      <c r="E33" s="12"/>
      <c r="F33" s="12"/>
      <c r="G33" s="13" t="str">
        <f aca="false">IF($A33="","",IFERROR(F33/$D33,""))</f>
        <v/>
      </c>
      <c r="H33" s="12"/>
      <c r="I33" s="12"/>
      <c r="J33" s="14" t="n">
        <f aca="false">IF($A33="","",SUM(F33,I33))</f>
        <v>0</v>
      </c>
      <c r="K33" s="12"/>
      <c r="L33" s="12"/>
      <c r="M33" s="13" t="str">
        <f aca="false">IF($A33="","",IFERROR(L33/$D33,""))</f>
        <v/>
      </c>
      <c r="N33" s="12"/>
      <c r="O33" s="12"/>
      <c r="P33" s="14" t="n">
        <f aca="false">IF($A33="","",SUM(L33,O33))</f>
        <v>0</v>
      </c>
    </row>
    <row r="34" customFormat="false" ht="15" hidden="false" customHeight="false" outlineLevel="0" collapsed="false">
      <c r="A34" s="11" t="s">
        <v>147</v>
      </c>
      <c r="B34" s="12" t="s">
        <v>51</v>
      </c>
      <c r="C34" s="12"/>
      <c r="D34" s="12"/>
      <c r="E34" s="12"/>
      <c r="F34" s="12"/>
      <c r="G34" s="13" t="str">
        <f aca="false">IF($A34="","",IFERROR(F34/$D34,""))</f>
        <v/>
      </c>
      <c r="H34" s="12"/>
      <c r="I34" s="12"/>
      <c r="J34" s="14" t="n">
        <f aca="false">IF($A34="","",SUM(F34,I34))</f>
        <v>0</v>
      </c>
      <c r="K34" s="12"/>
      <c r="L34" s="12"/>
      <c r="M34" s="13" t="str">
        <f aca="false">IF($A34="","",IFERROR(L34/$D34,""))</f>
        <v/>
      </c>
      <c r="N34" s="12"/>
      <c r="O34" s="12"/>
      <c r="P34" s="14" t="n">
        <f aca="false">IF($A34="","",SUM(L34,O34))</f>
        <v>0</v>
      </c>
    </row>
    <row r="35" customFormat="false" ht="15" hidden="false" customHeight="false" outlineLevel="0" collapsed="false">
      <c r="A35" s="11" t="s">
        <v>148</v>
      </c>
      <c r="B35" s="12" t="s">
        <v>51</v>
      </c>
      <c r="C35" s="12"/>
      <c r="D35" s="12"/>
      <c r="E35" s="12"/>
      <c r="F35" s="12"/>
      <c r="G35" s="13" t="str">
        <f aca="false">IF($A35="","",IFERROR(F35/$D35,""))</f>
        <v/>
      </c>
      <c r="H35" s="12"/>
      <c r="I35" s="12"/>
      <c r="J35" s="14" t="n">
        <f aca="false">IF($A35="","",SUM(F35,I35))</f>
        <v>0</v>
      </c>
      <c r="K35" s="12"/>
      <c r="L35" s="12"/>
      <c r="M35" s="13" t="str">
        <f aca="false">IF($A35="","",IFERROR(L35/$D35,""))</f>
        <v/>
      </c>
      <c r="N35" s="12"/>
      <c r="O35" s="12"/>
      <c r="P35" s="14" t="n">
        <f aca="false">IF($A35="","",SUM(L35,O35))</f>
        <v>0</v>
      </c>
    </row>
    <row r="36" customFormat="false" ht="15" hidden="false" customHeight="false" outlineLevel="0" collapsed="false">
      <c r="A36" s="11" t="s">
        <v>149</v>
      </c>
      <c r="B36" s="12" t="s">
        <v>69</v>
      </c>
      <c r="C36" s="12"/>
      <c r="D36" s="12"/>
      <c r="E36" s="12"/>
      <c r="F36" s="12"/>
      <c r="G36" s="13" t="str">
        <f aca="false">IF($A36="","",IFERROR(F36/$D36,""))</f>
        <v/>
      </c>
      <c r="H36" s="12"/>
      <c r="I36" s="12"/>
      <c r="J36" s="14" t="n">
        <f aca="false">IF($A36="","",SUM(F36,I36))</f>
        <v>0</v>
      </c>
      <c r="K36" s="12"/>
      <c r="L36" s="12"/>
      <c r="M36" s="13" t="str">
        <f aca="false">IF($A36="","",IFERROR(L36/$D36,""))</f>
        <v/>
      </c>
      <c r="N36" s="12"/>
      <c r="O36" s="12"/>
      <c r="P36" s="14" t="n">
        <f aca="false">IF($A36="","",SUM(L36,O36))</f>
        <v>0</v>
      </c>
    </row>
    <row r="37" customFormat="false" ht="15" hidden="false" customHeight="false" outlineLevel="0" collapsed="false">
      <c r="A37" s="11" t="s">
        <v>150</v>
      </c>
      <c r="B37" s="12" t="s">
        <v>69</v>
      </c>
      <c r="C37" s="12"/>
      <c r="D37" s="12"/>
      <c r="E37" s="12"/>
      <c r="F37" s="12"/>
      <c r="G37" s="13" t="str">
        <f aca="false">IF($A37="","",IFERROR(F37/$D37,""))</f>
        <v/>
      </c>
      <c r="H37" s="12"/>
      <c r="I37" s="12"/>
      <c r="J37" s="14" t="n">
        <f aca="false">IF($A37="","",SUM(F37,I37))</f>
        <v>0</v>
      </c>
      <c r="K37" s="12"/>
      <c r="L37" s="12"/>
      <c r="M37" s="13" t="str">
        <f aca="false">IF($A37="","",IFERROR(L37/$D37,""))</f>
        <v/>
      </c>
      <c r="N37" s="12"/>
      <c r="O37" s="12"/>
      <c r="P37" s="14" t="n">
        <f aca="false">IF($A37="","",SUM(L37,O37))</f>
        <v>0</v>
      </c>
    </row>
    <row r="38" customFormat="false" ht="15" hidden="false" customHeight="false" outlineLevel="0" collapsed="false">
      <c r="A38" s="11" t="s">
        <v>151</v>
      </c>
      <c r="B38" s="12" t="s">
        <v>69</v>
      </c>
      <c r="C38" s="12"/>
      <c r="D38" s="12"/>
      <c r="E38" s="12"/>
      <c r="F38" s="12"/>
      <c r="G38" s="13" t="str">
        <f aca="false">IF($A38="","",IFERROR(F38/$D38,""))</f>
        <v/>
      </c>
      <c r="H38" s="12"/>
      <c r="I38" s="12"/>
      <c r="J38" s="14" t="n">
        <f aca="false">IF($A38="","",SUM(F38,I38))</f>
        <v>0</v>
      </c>
      <c r="K38" s="12"/>
      <c r="L38" s="12"/>
      <c r="M38" s="13" t="str">
        <f aca="false">IF($A38="","",IFERROR(L38/$D38,""))</f>
        <v/>
      </c>
      <c r="N38" s="12"/>
      <c r="O38" s="12"/>
      <c r="P38" s="14" t="n">
        <f aca="false">IF($A38="","",SUM(L38,O38))</f>
        <v>0</v>
      </c>
    </row>
    <row r="39" customFormat="false" ht="15" hidden="false" customHeight="false" outlineLevel="0" collapsed="false">
      <c r="A39" s="11"/>
      <c r="B39" s="12"/>
      <c r="C39" s="12"/>
      <c r="D39" s="12"/>
      <c r="E39" s="12"/>
      <c r="F39" s="12"/>
      <c r="G39" s="13" t="str">
        <f aca="false">IF($A39="","",IFERROR(F39/$D39,""))</f>
        <v/>
      </c>
      <c r="H39" s="12"/>
      <c r="I39" s="12"/>
      <c r="J39" s="14" t="str">
        <f aca="false">IF($A39="","",SUM(F39,I39))</f>
        <v/>
      </c>
      <c r="K39" s="12"/>
      <c r="L39" s="12"/>
      <c r="M39" s="13" t="str">
        <f aca="false">IF($A39="","",IFERROR(L39/$D39,""))</f>
        <v/>
      </c>
      <c r="N39" s="12"/>
      <c r="O39" s="12"/>
      <c r="P39" s="14" t="str">
        <f aca="false">IF($A39="","",SUM(L39,O39))</f>
        <v/>
      </c>
    </row>
    <row r="40" customFormat="false" ht="15" hidden="false" customHeight="false" outlineLevel="0" collapsed="false">
      <c r="A40" s="11"/>
      <c r="B40" s="12"/>
      <c r="C40" s="12"/>
      <c r="D40" s="12"/>
      <c r="E40" s="12"/>
      <c r="F40" s="12"/>
      <c r="G40" s="13" t="str">
        <f aca="false">IF($A40="","",IFERROR(F40/$D40,""))</f>
        <v/>
      </c>
      <c r="H40" s="12"/>
      <c r="I40" s="12"/>
      <c r="J40" s="14" t="str">
        <f aca="false">IF($A40="","",SUM(F40,I40))</f>
        <v/>
      </c>
      <c r="K40" s="12"/>
      <c r="L40" s="12"/>
      <c r="M40" s="13" t="str">
        <f aca="false">IF($A40="","",IFERROR(L40/$D40,""))</f>
        <v/>
      </c>
      <c r="N40" s="12"/>
      <c r="O40" s="12"/>
      <c r="P40" s="14" t="str">
        <f aca="false">IF($A40="","",SUM(L40,O40))</f>
        <v/>
      </c>
    </row>
    <row r="41" customFormat="false" ht="15" hidden="false" customHeight="false" outlineLevel="0" collapsed="false">
      <c r="A41" s="11"/>
      <c r="B41" s="12"/>
      <c r="C41" s="12"/>
      <c r="D41" s="12"/>
      <c r="E41" s="12"/>
      <c r="F41" s="12"/>
      <c r="G41" s="13" t="str">
        <f aca="false">IF($A41="","",IFERROR(F41/$D41,""))</f>
        <v/>
      </c>
      <c r="H41" s="12"/>
      <c r="I41" s="12"/>
      <c r="J41" s="14" t="str">
        <f aca="false">IF($A41="","",SUM(F41,I41))</f>
        <v/>
      </c>
      <c r="K41" s="12"/>
      <c r="L41" s="12"/>
      <c r="M41" s="13" t="str">
        <f aca="false">IF($A41="","",IFERROR(L41/$D41,""))</f>
        <v/>
      </c>
      <c r="N41" s="12"/>
      <c r="O41" s="12"/>
      <c r="P41" s="14" t="str">
        <f aca="false">IF($A41="","",SUM(L41,O41))</f>
        <v/>
      </c>
    </row>
    <row r="42" customFormat="false" ht="15" hidden="false" customHeight="false" outlineLevel="0" collapsed="false">
      <c r="A42" s="11"/>
      <c r="B42" s="12"/>
      <c r="C42" s="12"/>
      <c r="D42" s="12"/>
      <c r="E42" s="12"/>
      <c r="F42" s="12"/>
      <c r="G42" s="13" t="str">
        <f aca="false">IF($A42="","",IFERROR(F42/$D42,""))</f>
        <v/>
      </c>
      <c r="H42" s="12"/>
      <c r="I42" s="12"/>
      <c r="J42" s="14" t="str">
        <f aca="false">IF($A42="","",SUM(F42,I42))</f>
        <v/>
      </c>
      <c r="K42" s="12"/>
      <c r="L42" s="12"/>
      <c r="M42" s="13" t="str">
        <f aca="false">IF($A42="","",IFERROR(L42/$D42,""))</f>
        <v/>
      </c>
      <c r="N42" s="12"/>
      <c r="O42" s="12"/>
      <c r="P42" s="14" t="str">
        <f aca="false">IF($A42="","",SUM(L42,O42))</f>
        <v/>
      </c>
    </row>
    <row r="43" customFormat="false" ht="15" hidden="false" customHeight="false" outlineLevel="0" collapsed="false">
      <c r="A43" s="15" t="s">
        <v>73</v>
      </c>
      <c r="B43" s="16"/>
      <c r="C43" s="16" t="n">
        <f aca="false">SUMIFS(C$3:C$42,$B$3:$B$42,"ERPI")</f>
        <v>0</v>
      </c>
      <c r="D43" s="16" t="n">
        <f aca="false">SUMIFS(D$3:D$42,$B$3:$B$42,"ERPI")</f>
        <v>0</v>
      </c>
      <c r="E43" s="16" t="n">
        <f aca="false">SUMIFS(E$3:E$42,$B$3:$B$42,"ERPI")</f>
        <v>0</v>
      </c>
      <c r="F43" s="16" t="n">
        <f aca="false">SUMIFS(F$3:F$42,$B$3:$B$42,"ERPI")</f>
        <v>0</v>
      </c>
      <c r="G43" s="17" t="str">
        <f aca="false">IFERROR(F43/D43,"")</f>
        <v/>
      </c>
      <c r="H43" s="16" t="n">
        <f aca="false">SUMIFS(H$3:H$42,$B$3:$B$42,"ERPI")</f>
        <v>0</v>
      </c>
      <c r="I43" s="16" t="n">
        <f aca="false">SUMIFS(I$3:I$42,$B$3:$B$42,"ERPI")</f>
        <v>0</v>
      </c>
      <c r="J43" s="16" t="n">
        <f aca="false">SUM(F43,I43)</f>
        <v>0</v>
      </c>
      <c r="K43" s="16" t="n">
        <f aca="false">SUMIFS(K$3:K$42,$B$3:$B$42,"ERPI")</f>
        <v>0</v>
      </c>
      <c r="L43" s="16" t="n">
        <f aca="false">SUMIFS(L$3:L$42,$B$3:$B$42,"ERPI")</f>
        <v>0</v>
      </c>
      <c r="M43" s="17" t="str">
        <f aca="false">IFERROR(L43/D43,"")</f>
        <v/>
      </c>
      <c r="N43" s="16" t="n">
        <f aca="false">SUMIFS(N$3:N$42,$B$3:$B$42,"ERPI")</f>
        <v>0</v>
      </c>
      <c r="O43" s="16" t="n">
        <f aca="false">SUMIFS(O$3:O$42,$B$3:$B$42,"ERPI")</f>
        <v>0</v>
      </c>
      <c r="P43" s="16" t="n">
        <f aca="false">SUM(L43,O43)</f>
        <v>0</v>
      </c>
    </row>
    <row r="44" customFormat="false" ht="15" hidden="false" customHeight="false" outlineLevel="0" collapsed="false">
      <c r="A44" s="18" t="s">
        <v>74</v>
      </c>
      <c r="B44" s="19"/>
      <c r="C44" s="19" t="n">
        <f aca="false">C45-C43</f>
        <v>0</v>
      </c>
      <c r="D44" s="19" t="n">
        <f aca="false">D45-D43</f>
        <v>0</v>
      </c>
      <c r="E44" s="19" t="n">
        <f aca="false">E45-E43</f>
        <v>0</v>
      </c>
      <c r="F44" s="19" t="n">
        <f aca="false">F45-F43</f>
        <v>0</v>
      </c>
      <c r="G44" s="20" t="str">
        <f aca="false">IFERROR(F44/D44,"")</f>
        <v/>
      </c>
      <c r="H44" s="19" t="n">
        <f aca="false">H45-H43</f>
        <v>0</v>
      </c>
      <c r="I44" s="19" t="n">
        <f aca="false">I45-I43</f>
        <v>0</v>
      </c>
      <c r="J44" s="19" t="n">
        <f aca="false">SUM(F44,I44)</f>
        <v>0</v>
      </c>
      <c r="K44" s="19" t="n">
        <f aca="false">K45-K43</f>
        <v>0</v>
      </c>
      <c r="L44" s="19" t="n">
        <f aca="false">L45-L43</f>
        <v>0</v>
      </c>
      <c r="M44" s="20" t="str">
        <f aca="false">IFERROR(L44/D44,"")</f>
        <v/>
      </c>
      <c r="N44" s="19" t="n">
        <f aca="false">N45-N43</f>
        <v>0</v>
      </c>
      <c r="O44" s="19" t="n">
        <f aca="false">O45-O43</f>
        <v>0</v>
      </c>
      <c r="P44" s="19" t="n">
        <f aca="false">SUM(L44,O44)</f>
        <v>0</v>
      </c>
    </row>
    <row r="45" customFormat="false" ht="15" hidden="false" customHeight="false" outlineLevel="0" collapsed="false">
      <c r="A45" s="21" t="s">
        <v>75</v>
      </c>
      <c r="B45" s="22"/>
      <c r="C45" s="22" t="n">
        <f aca="false">SUM(C$3:C$42)</f>
        <v>0</v>
      </c>
      <c r="D45" s="22" t="n">
        <f aca="false">SUM(D$3:D$42)</f>
        <v>0</v>
      </c>
      <c r="E45" s="22" t="n">
        <f aca="false">SUM(E$3:E$42)</f>
        <v>0</v>
      </c>
      <c r="F45" s="22" t="n">
        <f aca="false">SUM(F$3:F$42)</f>
        <v>0</v>
      </c>
      <c r="G45" s="23" t="str">
        <f aca="false">IFERROR(F45/D45,"")</f>
        <v/>
      </c>
      <c r="H45" s="22" t="n">
        <f aca="false">SUM(H$3:H$42)</f>
        <v>0</v>
      </c>
      <c r="I45" s="22" t="n">
        <f aca="false">SUM(I$3:I$42)</f>
        <v>0</v>
      </c>
      <c r="J45" s="22" t="n">
        <f aca="false">SUM(F45,I45)</f>
        <v>0</v>
      </c>
      <c r="K45" s="22" t="n">
        <f aca="false">SUM(K$3:K$42)</f>
        <v>0</v>
      </c>
      <c r="L45" s="22" t="n">
        <f aca="false">SUM(L$3:L$42)</f>
        <v>0</v>
      </c>
      <c r="M45" s="23" t="str">
        <f aca="false">IFERROR(L45/D45,"")</f>
        <v/>
      </c>
      <c r="N45" s="22" t="n">
        <f aca="false">SUM(N$3:N$42)</f>
        <v>0</v>
      </c>
      <c r="O45" s="22" t="n">
        <f aca="false">SUM(O$3:O$42)</f>
        <v>0</v>
      </c>
      <c r="P45" s="22" t="n">
        <f aca="false">SUM(L45,O45)</f>
        <v>0</v>
      </c>
    </row>
  </sheetData>
  <sheetProtection sheet="true" formatColumns="false" formatRows="false"/>
  <mergeCells count="2">
    <mergeCell ref="E1:J1"/>
    <mergeCell ref="K1:P1"/>
  </mergeCells>
  <conditionalFormatting sqref="B3:B42">
    <cfRule type="expression" priority="2" aboveAverage="0" equalAverage="0" bottom="0" percent="0" rank="0" text="" dxfId="0">
      <formula>AND($A3&lt;&gt;"",$B3="")</formula>
    </cfRule>
  </conditionalFormatting>
  <conditionalFormatting sqref="E3:E42">
    <cfRule type="expression" priority="3" aboveAverage="0" equalAverage="0" bottom="0" percent="0" rank="0" text="" dxfId="0">
      <formula>AND(E3&lt;&gt;"",E3&gt;$D3)</formula>
    </cfRule>
  </conditionalFormatting>
  <conditionalFormatting sqref="F3:F42">
    <cfRule type="expression" priority="4" aboveAverage="0" equalAverage="0" bottom="0" percent="0" rank="0" text="" dxfId="0">
      <formula>AND(F3&lt;&gt;"",F3&gt;$D3)</formula>
    </cfRule>
  </conditionalFormatting>
  <conditionalFormatting sqref="H3:H42">
    <cfRule type="expression" priority="5" aboveAverage="0" equalAverage="0" bottom="0" percent="0" rank="0" text="" dxfId="0">
      <formula>AND(H3&lt;&gt;"",H3&gt;$C3)</formula>
    </cfRule>
  </conditionalFormatting>
  <conditionalFormatting sqref="I3:I42">
    <cfRule type="expression" priority="6" aboveAverage="0" equalAverage="0" bottom="0" percent="0" rank="0" text="" dxfId="0">
      <formula>AND(I3&lt;&gt;"",I3&gt;$C3)</formula>
    </cfRule>
  </conditionalFormatting>
  <conditionalFormatting sqref="K3:K42">
    <cfRule type="expression" priority="7" aboveAverage="0" equalAverage="0" bottom="0" percent="0" rank="0" text="" dxfId="0">
      <formula>AND(K3&lt;&gt;"",K3&gt;$D3)</formula>
    </cfRule>
  </conditionalFormatting>
  <conditionalFormatting sqref="L3:L42">
    <cfRule type="expression" priority="8" aboveAverage="0" equalAverage="0" bottom="0" percent="0" rank="0" text="" dxfId="0">
      <formula>AND(L3&lt;&gt;"",L3&gt;$D3)</formula>
    </cfRule>
  </conditionalFormatting>
  <conditionalFormatting sqref="N3:N42">
    <cfRule type="expression" priority="9" aboveAverage="0" equalAverage="0" bottom="0" percent="0" rank="0" text="" dxfId="0">
      <formula>AND(N3&lt;&gt;"",N3&gt;$C3)</formula>
    </cfRule>
  </conditionalFormatting>
  <conditionalFormatting sqref="O3:O42">
    <cfRule type="expression" priority="10" aboveAverage="0" equalAverage="0" bottom="0" percent="0" rank="0" text="" dxfId="0">
      <formula>AND(O3&lt;&gt;"",O3&gt;$C3)</formula>
    </cfRule>
  </conditionalFormatting>
  <dataValidations count="1">
    <dataValidation allowBlank="true" error="Escolher: ERPI, CD, Lar Residencial ou UCCI" errorStyle="stop" errorTitle="Tipologia inválida" operator="between" showDropDown="false" showErrorMessage="true" showInputMessage="false" sqref="B3:B42" type="list">
      <formula1>"ERPI,CD,Lar Residencial,UCCI"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5"/>
    <col collapsed="false" customWidth="true" hidden="false" outlineLevel="0" max="16" min="3" style="0" width="13"/>
  </cols>
  <sheetData>
    <row r="1" customFormat="false" ht="15" hidden="false" customHeight="true" outlineLevel="0" collapsed="false">
      <c r="E1" s="7" t="s">
        <v>24</v>
      </c>
      <c r="F1" s="7"/>
      <c r="G1" s="7"/>
      <c r="H1" s="7"/>
      <c r="I1" s="7"/>
      <c r="J1" s="7"/>
      <c r="K1" s="8" t="s">
        <v>25</v>
      </c>
      <c r="L1" s="8"/>
      <c r="M1" s="8"/>
      <c r="N1" s="8"/>
      <c r="O1" s="8"/>
      <c r="P1" s="8"/>
    </row>
    <row r="2" customFormat="false" ht="35.05" hidden="false" customHeight="false" outlineLevel="0" collapsed="false">
      <c r="A2" s="4" t="s">
        <v>26</v>
      </c>
      <c r="B2" s="4" t="s">
        <v>17</v>
      </c>
      <c r="C2" s="4" t="s">
        <v>27</v>
      </c>
      <c r="D2" s="4" t="s">
        <v>19</v>
      </c>
      <c r="E2" s="9" t="s">
        <v>28</v>
      </c>
      <c r="F2" s="9" t="s">
        <v>29</v>
      </c>
      <c r="G2" s="9" t="s">
        <v>30</v>
      </c>
      <c r="H2" s="9" t="s">
        <v>31</v>
      </c>
      <c r="I2" s="9" t="s">
        <v>32</v>
      </c>
      <c r="J2" s="9" t="s">
        <v>33</v>
      </c>
      <c r="K2" s="10" t="s">
        <v>28</v>
      </c>
      <c r="L2" s="10" t="s">
        <v>29</v>
      </c>
      <c r="M2" s="10" t="s">
        <v>30</v>
      </c>
      <c r="N2" s="10" t="s">
        <v>31</v>
      </c>
      <c r="O2" s="10" t="s">
        <v>32</v>
      </c>
      <c r="P2" s="10" t="s">
        <v>33</v>
      </c>
    </row>
    <row r="3" customFormat="false" ht="15" hidden="false" customHeight="false" outlineLevel="0" collapsed="false">
      <c r="A3" s="11" t="s">
        <v>152</v>
      </c>
      <c r="B3" s="12" t="s">
        <v>23</v>
      </c>
      <c r="C3" s="12"/>
      <c r="D3" s="12"/>
      <c r="E3" s="12"/>
      <c r="F3" s="12"/>
      <c r="G3" s="13" t="str">
        <f aca="false">IF($A3="","",IFERROR(F3/$D3,""))</f>
        <v/>
      </c>
      <c r="H3" s="12"/>
      <c r="I3" s="12"/>
      <c r="J3" s="14" t="n">
        <f aca="false">IF($A3="","",SUM(F3,I3))</f>
        <v>0</v>
      </c>
      <c r="K3" s="12"/>
      <c r="L3" s="12"/>
      <c r="M3" s="13" t="str">
        <f aca="false">IF($A3="","",IFERROR(L3/$D3,""))</f>
        <v/>
      </c>
      <c r="N3" s="12"/>
      <c r="O3" s="12"/>
      <c r="P3" s="14" t="n">
        <f aca="false">IF($A3="","",SUM(L3,O3))</f>
        <v>0</v>
      </c>
    </row>
    <row r="4" customFormat="false" ht="15" hidden="false" customHeight="false" outlineLevel="0" collapsed="false">
      <c r="A4" s="11" t="s">
        <v>152</v>
      </c>
      <c r="B4" s="12" t="s">
        <v>23</v>
      </c>
      <c r="C4" s="12"/>
      <c r="D4" s="12"/>
      <c r="E4" s="12"/>
      <c r="F4" s="12"/>
      <c r="G4" s="13" t="str">
        <f aca="false">IF($A4="","",IFERROR(F4/$D4,""))</f>
        <v/>
      </c>
      <c r="H4" s="12"/>
      <c r="I4" s="12"/>
      <c r="J4" s="14" t="n">
        <f aca="false">IF($A4="","",SUM(F4,I4))</f>
        <v>0</v>
      </c>
      <c r="K4" s="12"/>
      <c r="L4" s="12"/>
      <c r="M4" s="13" t="str">
        <f aca="false">IF($A4="","",IFERROR(L4/$D4,""))</f>
        <v/>
      </c>
      <c r="N4" s="12"/>
      <c r="O4" s="12"/>
      <c r="P4" s="14" t="n">
        <f aca="false">IF($A4="","",SUM(L4,O4))</f>
        <v>0</v>
      </c>
    </row>
    <row r="5" customFormat="false" ht="15" hidden="false" customHeight="false" outlineLevel="0" collapsed="false">
      <c r="A5" s="11" t="s">
        <v>153</v>
      </c>
      <c r="B5" s="12" t="s">
        <v>23</v>
      </c>
      <c r="C5" s="12"/>
      <c r="D5" s="12"/>
      <c r="E5" s="12"/>
      <c r="F5" s="12"/>
      <c r="G5" s="13" t="str">
        <f aca="false">IF($A5="","",IFERROR(F5/$D5,""))</f>
        <v/>
      </c>
      <c r="H5" s="12"/>
      <c r="I5" s="12"/>
      <c r="J5" s="14" t="n">
        <f aca="false">IF($A5="","",SUM(F5,I5))</f>
        <v>0</v>
      </c>
      <c r="K5" s="12"/>
      <c r="L5" s="12"/>
      <c r="M5" s="13" t="str">
        <f aca="false">IF($A5="","",IFERROR(L5/$D5,""))</f>
        <v/>
      </c>
      <c r="N5" s="12"/>
      <c r="O5" s="12"/>
      <c r="P5" s="14" t="n">
        <f aca="false">IF($A5="","",SUM(L5,O5))</f>
        <v>0</v>
      </c>
    </row>
    <row r="6" customFormat="false" ht="15" hidden="false" customHeight="false" outlineLevel="0" collapsed="false">
      <c r="A6" s="11" t="s">
        <v>154</v>
      </c>
      <c r="B6" s="12" t="s">
        <v>23</v>
      </c>
      <c r="C6" s="12"/>
      <c r="D6" s="12"/>
      <c r="E6" s="12"/>
      <c r="F6" s="12"/>
      <c r="G6" s="13" t="str">
        <f aca="false">IF($A6="","",IFERROR(F6/$D6,""))</f>
        <v/>
      </c>
      <c r="H6" s="12"/>
      <c r="I6" s="12"/>
      <c r="J6" s="14" t="n">
        <f aca="false">IF($A6="","",SUM(F6,I6))</f>
        <v>0</v>
      </c>
      <c r="K6" s="12"/>
      <c r="L6" s="12"/>
      <c r="M6" s="13" t="str">
        <f aca="false">IF($A6="","",IFERROR(L6/$D6,""))</f>
        <v/>
      </c>
      <c r="N6" s="12"/>
      <c r="O6" s="12"/>
      <c r="P6" s="14" t="n">
        <f aca="false">IF($A6="","",SUM(L6,O6))</f>
        <v>0</v>
      </c>
    </row>
    <row r="7" customFormat="false" ht="15" hidden="false" customHeight="false" outlineLevel="0" collapsed="false">
      <c r="A7" s="11" t="s">
        <v>155</v>
      </c>
      <c r="B7" s="12" t="s">
        <v>23</v>
      </c>
      <c r="C7" s="12"/>
      <c r="D7" s="12"/>
      <c r="E7" s="12"/>
      <c r="F7" s="12"/>
      <c r="G7" s="13" t="str">
        <f aca="false">IF($A7="","",IFERROR(F7/$D7,""))</f>
        <v/>
      </c>
      <c r="H7" s="12"/>
      <c r="I7" s="12"/>
      <c r="J7" s="14" t="n">
        <f aca="false">IF($A7="","",SUM(F7,I7))</f>
        <v>0</v>
      </c>
      <c r="K7" s="12"/>
      <c r="L7" s="12"/>
      <c r="M7" s="13" t="str">
        <f aca="false">IF($A7="","",IFERROR(L7/$D7,""))</f>
        <v/>
      </c>
      <c r="N7" s="12"/>
      <c r="O7" s="12"/>
      <c r="P7" s="14" t="n">
        <f aca="false">IF($A7="","",SUM(L7,O7))</f>
        <v>0</v>
      </c>
    </row>
    <row r="8" customFormat="false" ht="15" hidden="false" customHeight="false" outlineLevel="0" collapsed="false">
      <c r="A8" s="11" t="s">
        <v>156</v>
      </c>
      <c r="B8" s="12" t="s">
        <v>23</v>
      </c>
      <c r="C8" s="12"/>
      <c r="D8" s="12"/>
      <c r="E8" s="12"/>
      <c r="F8" s="12"/>
      <c r="G8" s="13" t="str">
        <f aca="false">IF($A8="","",IFERROR(F8/$D8,""))</f>
        <v/>
      </c>
      <c r="H8" s="12"/>
      <c r="I8" s="12"/>
      <c r="J8" s="14" t="n">
        <f aca="false">IF($A8="","",SUM(F8,I8))</f>
        <v>0</v>
      </c>
      <c r="K8" s="12"/>
      <c r="L8" s="12"/>
      <c r="M8" s="13" t="str">
        <f aca="false">IF($A8="","",IFERROR(L8/$D8,""))</f>
        <v/>
      </c>
      <c r="N8" s="12"/>
      <c r="O8" s="12"/>
      <c r="P8" s="14" t="n">
        <f aca="false">IF($A8="","",SUM(L8,O8))</f>
        <v>0</v>
      </c>
    </row>
    <row r="9" customFormat="false" ht="15" hidden="false" customHeight="false" outlineLevel="0" collapsed="false">
      <c r="A9" s="11" t="s">
        <v>157</v>
      </c>
      <c r="B9" s="12" t="s">
        <v>23</v>
      </c>
      <c r="C9" s="12"/>
      <c r="D9" s="12"/>
      <c r="E9" s="12"/>
      <c r="F9" s="12"/>
      <c r="G9" s="13" t="str">
        <f aca="false">IF($A9="","",IFERROR(F9/$D9,""))</f>
        <v/>
      </c>
      <c r="H9" s="12"/>
      <c r="I9" s="12"/>
      <c r="J9" s="14" t="n">
        <f aca="false">IF($A9="","",SUM(F9,I9))</f>
        <v>0</v>
      </c>
      <c r="K9" s="12"/>
      <c r="L9" s="12"/>
      <c r="M9" s="13" t="str">
        <f aca="false">IF($A9="","",IFERROR(L9/$D9,""))</f>
        <v/>
      </c>
      <c r="N9" s="12"/>
      <c r="O9" s="12"/>
      <c r="P9" s="14" t="n">
        <f aca="false">IF($A9="","",SUM(L9,O9))</f>
        <v>0</v>
      </c>
    </row>
    <row r="10" customFormat="false" ht="15" hidden="false" customHeight="false" outlineLevel="0" collapsed="false">
      <c r="A10" s="11" t="s">
        <v>158</v>
      </c>
      <c r="B10" s="12" t="s">
        <v>23</v>
      </c>
      <c r="C10" s="12"/>
      <c r="D10" s="12"/>
      <c r="E10" s="12"/>
      <c r="F10" s="12"/>
      <c r="G10" s="13" t="str">
        <f aca="false">IF($A10="","",IFERROR(F10/$D10,""))</f>
        <v/>
      </c>
      <c r="H10" s="12"/>
      <c r="I10" s="12"/>
      <c r="J10" s="14" t="n">
        <f aca="false">IF($A10="","",SUM(F10,I10))</f>
        <v>0</v>
      </c>
      <c r="K10" s="12"/>
      <c r="L10" s="12"/>
      <c r="M10" s="13" t="str">
        <f aca="false">IF($A10="","",IFERROR(L10/$D10,""))</f>
        <v/>
      </c>
      <c r="N10" s="12"/>
      <c r="O10" s="12"/>
      <c r="P10" s="14" t="n">
        <f aca="false">IF($A10="","",SUM(L10,O10))</f>
        <v>0</v>
      </c>
    </row>
    <row r="11" customFormat="false" ht="15" hidden="false" customHeight="false" outlineLevel="0" collapsed="false">
      <c r="A11" s="11" t="s">
        <v>159</v>
      </c>
      <c r="B11" s="12" t="s">
        <v>51</v>
      </c>
      <c r="C11" s="12"/>
      <c r="D11" s="12"/>
      <c r="E11" s="12"/>
      <c r="F11" s="12"/>
      <c r="G11" s="13" t="str">
        <f aca="false">IF($A11="","",IFERROR(F11/$D11,""))</f>
        <v/>
      </c>
      <c r="H11" s="12"/>
      <c r="I11" s="12"/>
      <c r="J11" s="14" t="n">
        <f aca="false">IF($A11="","",SUM(F11,I11))</f>
        <v>0</v>
      </c>
      <c r="K11" s="12"/>
      <c r="L11" s="12"/>
      <c r="M11" s="13" t="str">
        <f aca="false">IF($A11="","",IFERROR(L11/$D11,""))</f>
        <v/>
      </c>
      <c r="N11" s="12"/>
      <c r="O11" s="12"/>
      <c r="P11" s="14" t="n">
        <f aca="false">IF($A11="","",SUM(L11,O11))</f>
        <v>0</v>
      </c>
    </row>
    <row r="12" customFormat="false" ht="15" hidden="false" customHeight="false" outlineLevel="0" collapsed="false">
      <c r="A12" s="11" t="s">
        <v>160</v>
      </c>
      <c r="B12" s="12" t="s">
        <v>51</v>
      </c>
      <c r="C12" s="12"/>
      <c r="D12" s="12"/>
      <c r="E12" s="12"/>
      <c r="F12" s="12"/>
      <c r="G12" s="13" t="str">
        <f aca="false">IF($A12="","",IFERROR(F12/$D12,""))</f>
        <v/>
      </c>
      <c r="H12" s="12"/>
      <c r="I12" s="12"/>
      <c r="J12" s="14" t="n">
        <f aca="false">IF($A12="","",SUM(F12,I12))</f>
        <v>0</v>
      </c>
      <c r="K12" s="12"/>
      <c r="L12" s="12"/>
      <c r="M12" s="13" t="str">
        <f aca="false">IF($A12="","",IFERROR(L12/$D12,""))</f>
        <v/>
      </c>
      <c r="N12" s="12"/>
      <c r="O12" s="12"/>
      <c r="P12" s="14" t="n">
        <f aca="false">IF($A12="","",SUM(L12,O12))</f>
        <v>0</v>
      </c>
    </row>
    <row r="13" customFormat="false" ht="15" hidden="false" customHeight="false" outlineLevel="0" collapsed="false">
      <c r="A13" s="11" t="s">
        <v>161</v>
      </c>
      <c r="B13" s="12" t="s">
        <v>51</v>
      </c>
      <c r="C13" s="12"/>
      <c r="D13" s="12"/>
      <c r="E13" s="12"/>
      <c r="F13" s="12"/>
      <c r="G13" s="13" t="str">
        <f aca="false">IF($A13="","",IFERROR(F13/$D13,""))</f>
        <v/>
      </c>
      <c r="H13" s="12"/>
      <c r="I13" s="12"/>
      <c r="J13" s="14" t="n">
        <f aca="false">IF($A13="","",SUM(F13,I13))</f>
        <v>0</v>
      </c>
      <c r="K13" s="12"/>
      <c r="L13" s="12"/>
      <c r="M13" s="13" t="str">
        <f aca="false">IF($A13="","",IFERROR(L13/$D13,""))</f>
        <v/>
      </c>
      <c r="N13" s="12"/>
      <c r="O13" s="12"/>
      <c r="P13" s="14" t="n">
        <f aca="false">IF($A13="","",SUM(L13,O13))</f>
        <v>0</v>
      </c>
    </row>
    <row r="14" customFormat="false" ht="15" hidden="false" customHeight="false" outlineLevel="0" collapsed="false">
      <c r="A14" s="11" t="s">
        <v>162</v>
      </c>
      <c r="B14" s="12" t="s">
        <v>51</v>
      </c>
      <c r="C14" s="12"/>
      <c r="D14" s="12"/>
      <c r="E14" s="12"/>
      <c r="F14" s="12"/>
      <c r="G14" s="13" t="str">
        <f aca="false">IF($A14="","",IFERROR(F14/$D14,""))</f>
        <v/>
      </c>
      <c r="H14" s="12"/>
      <c r="I14" s="12"/>
      <c r="J14" s="14" t="n">
        <f aca="false">IF($A14="","",SUM(F14,I14))</f>
        <v>0</v>
      </c>
      <c r="K14" s="12"/>
      <c r="L14" s="12"/>
      <c r="M14" s="13" t="str">
        <f aca="false">IF($A14="","",IFERROR(L14/$D14,""))</f>
        <v/>
      </c>
      <c r="N14" s="12"/>
      <c r="O14" s="12"/>
      <c r="P14" s="14" t="n">
        <f aca="false">IF($A14="","",SUM(L14,O14))</f>
        <v>0</v>
      </c>
    </row>
    <row r="15" customFormat="false" ht="15" hidden="false" customHeight="false" outlineLevel="0" collapsed="false">
      <c r="A15" s="11" t="s">
        <v>163</v>
      </c>
      <c r="B15" s="12" t="s">
        <v>51</v>
      </c>
      <c r="C15" s="12"/>
      <c r="D15" s="12"/>
      <c r="E15" s="12"/>
      <c r="F15" s="12"/>
      <c r="G15" s="13" t="str">
        <f aca="false">IF($A15="","",IFERROR(F15/$D15,""))</f>
        <v/>
      </c>
      <c r="H15" s="12"/>
      <c r="I15" s="12"/>
      <c r="J15" s="14" t="n">
        <f aca="false">IF($A15="","",SUM(F15,I15))</f>
        <v>0</v>
      </c>
      <c r="K15" s="12"/>
      <c r="L15" s="12"/>
      <c r="M15" s="13" t="str">
        <f aca="false">IF($A15="","",IFERROR(L15/$D15,""))</f>
        <v/>
      </c>
      <c r="N15" s="12"/>
      <c r="O15" s="12"/>
      <c r="P15" s="14" t="n">
        <f aca="false">IF($A15="","",SUM(L15,O15))</f>
        <v>0</v>
      </c>
    </row>
    <row r="16" customFormat="false" ht="15" hidden="false" customHeight="false" outlineLevel="0" collapsed="false">
      <c r="A16" s="11" t="s">
        <v>164</v>
      </c>
      <c r="B16" s="12" t="s">
        <v>51</v>
      </c>
      <c r="C16" s="12"/>
      <c r="D16" s="12"/>
      <c r="E16" s="12"/>
      <c r="F16" s="12"/>
      <c r="G16" s="13" t="str">
        <f aca="false">IF($A16="","",IFERROR(F16/$D16,""))</f>
        <v/>
      </c>
      <c r="H16" s="12"/>
      <c r="I16" s="12"/>
      <c r="J16" s="14" t="n">
        <f aca="false">IF($A16="","",SUM(F16,I16))</f>
        <v>0</v>
      </c>
      <c r="K16" s="12"/>
      <c r="L16" s="12"/>
      <c r="M16" s="13" t="str">
        <f aca="false">IF($A16="","",IFERROR(L16/$D16,""))</f>
        <v/>
      </c>
      <c r="N16" s="12"/>
      <c r="O16" s="12"/>
      <c r="P16" s="14" t="n">
        <f aca="false">IF($A16="","",SUM(L16,O16))</f>
        <v>0</v>
      </c>
    </row>
    <row r="17" customFormat="false" ht="15" hidden="false" customHeight="false" outlineLevel="0" collapsed="false">
      <c r="A17" s="11" t="s">
        <v>165</v>
      </c>
      <c r="B17" s="12" t="s">
        <v>51</v>
      </c>
      <c r="C17" s="12"/>
      <c r="D17" s="12"/>
      <c r="E17" s="12"/>
      <c r="F17" s="12"/>
      <c r="G17" s="13" t="str">
        <f aca="false">IF($A17="","",IFERROR(F17/$D17,""))</f>
        <v/>
      </c>
      <c r="H17" s="12"/>
      <c r="I17" s="12"/>
      <c r="J17" s="14" t="n">
        <f aca="false">IF($A17="","",SUM(F17,I17))</f>
        <v>0</v>
      </c>
      <c r="K17" s="12"/>
      <c r="L17" s="12"/>
      <c r="M17" s="13" t="str">
        <f aca="false">IF($A17="","",IFERROR(L17/$D17,""))</f>
        <v/>
      </c>
      <c r="N17" s="12"/>
      <c r="O17" s="12"/>
      <c r="P17" s="14" t="n">
        <f aca="false">IF($A17="","",SUM(L17,O17))</f>
        <v>0</v>
      </c>
    </row>
    <row r="18" customFormat="false" ht="15" hidden="false" customHeight="false" outlineLevel="0" collapsed="false">
      <c r="A18" s="11" t="s">
        <v>166</v>
      </c>
      <c r="B18" s="12" t="s">
        <v>72</v>
      </c>
      <c r="C18" s="12"/>
      <c r="D18" s="12"/>
      <c r="E18" s="12"/>
      <c r="F18" s="12"/>
      <c r="G18" s="13" t="str">
        <f aca="false">IF($A18="","",IFERROR(F18/$D18,""))</f>
        <v/>
      </c>
      <c r="H18" s="12"/>
      <c r="I18" s="12"/>
      <c r="J18" s="14" t="n">
        <f aca="false">IF($A18="","",SUM(F18,I18))</f>
        <v>0</v>
      </c>
      <c r="K18" s="12"/>
      <c r="L18" s="12"/>
      <c r="M18" s="13" t="str">
        <f aca="false">IF($A18="","",IFERROR(L18/$D18,""))</f>
        <v/>
      </c>
      <c r="N18" s="12"/>
      <c r="O18" s="12"/>
      <c r="P18" s="14" t="n">
        <f aca="false">IF($A18="","",SUM(L18,O18))</f>
        <v>0</v>
      </c>
    </row>
    <row r="19" customFormat="false" ht="15" hidden="false" customHeight="false" outlineLevel="0" collapsed="false">
      <c r="A19" s="11"/>
      <c r="B19" s="12"/>
      <c r="C19" s="12"/>
      <c r="D19" s="12"/>
      <c r="E19" s="12"/>
      <c r="F19" s="12"/>
      <c r="G19" s="13" t="str">
        <f aca="false">IF($A19="","",IFERROR(F19/$D19,""))</f>
        <v/>
      </c>
      <c r="H19" s="12"/>
      <c r="I19" s="12"/>
      <c r="J19" s="14" t="str">
        <f aca="false">IF($A19="","",SUM(F19,I19))</f>
        <v/>
      </c>
      <c r="K19" s="12"/>
      <c r="L19" s="12"/>
      <c r="M19" s="13" t="str">
        <f aca="false">IF($A19="","",IFERROR(L19/$D19,""))</f>
        <v/>
      </c>
      <c r="N19" s="12"/>
      <c r="O19" s="12"/>
      <c r="P19" s="14" t="str">
        <f aca="false">IF($A19="","",SUM(L19,O19))</f>
        <v/>
      </c>
    </row>
    <row r="20" customFormat="false" ht="15" hidden="false" customHeight="false" outlineLevel="0" collapsed="false">
      <c r="A20" s="11"/>
      <c r="B20" s="12"/>
      <c r="C20" s="12"/>
      <c r="D20" s="12"/>
      <c r="E20" s="12"/>
      <c r="F20" s="12"/>
      <c r="G20" s="13" t="str">
        <f aca="false">IF($A20="","",IFERROR(F20/$D20,""))</f>
        <v/>
      </c>
      <c r="H20" s="12"/>
      <c r="I20" s="12"/>
      <c r="J20" s="14" t="str">
        <f aca="false">IF($A20="","",SUM(F20,I20))</f>
        <v/>
      </c>
      <c r="K20" s="12"/>
      <c r="L20" s="12"/>
      <c r="M20" s="13" t="str">
        <f aca="false">IF($A20="","",IFERROR(L20/$D20,""))</f>
        <v/>
      </c>
      <c r="N20" s="12"/>
      <c r="O20" s="12"/>
      <c r="P20" s="14" t="str">
        <f aca="false">IF($A20="","",SUM(L20,O20))</f>
        <v/>
      </c>
    </row>
    <row r="21" customFormat="false" ht="15" hidden="false" customHeight="false" outlineLevel="0" collapsed="false">
      <c r="A21" s="11"/>
      <c r="B21" s="12"/>
      <c r="C21" s="12"/>
      <c r="D21" s="12"/>
      <c r="E21" s="12"/>
      <c r="F21" s="12"/>
      <c r="G21" s="13" t="str">
        <f aca="false">IF($A21="","",IFERROR(F21/$D21,""))</f>
        <v/>
      </c>
      <c r="H21" s="12"/>
      <c r="I21" s="12"/>
      <c r="J21" s="14" t="str">
        <f aca="false">IF($A21="","",SUM(F21,I21))</f>
        <v/>
      </c>
      <c r="K21" s="12"/>
      <c r="L21" s="12"/>
      <c r="M21" s="13" t="str">
        <f aca="false">IF($A21="","",IFERROR(L21/$D21,""))</f>
        <v/>
      </c>
      <c r="N21" s="12"/>
      <c r="O21" s="12"/>
      <c r="P21" s="14" t="str">
        <f aca="false">IF($A21="","",SUM(L21,O21))</f>
        <v/>
      </c>
    </row>
    <row r="22" customFormat="false" ht="15" hidden="false" customHeight="false" outlineLevel="0" collapsed="false">
      <c r="A22" s="11"/>
      <c r="B22" s="12"/>
      <c r="C22" s="12"/>
      <c r="D22" s="12"/>
      <c r="E22" s="12"/>
      <c r="F22" s="12"/>
      <c r="G22" s="13" t="str">
        <f aca="false">IF($A22="","",IFERROR(F22/$D22,""))</f>
        <v/>
      </c>
      <c r="H22" s="12"/>
      <c r="I22" s="12"/>
      <c r="J22" s="14" t="str">
        <f aca="false">IF($A22="","",SUM(F22,I22))</f>
        <v/>
      </c>
      <c r="K22" s="12"/>
      <c r="L22" s="12"/>
      <c r="M22" s="13" t="str">
        <f aca="false">IF($A22="","",IFERROR(L22/$D22,""))</f>
        <v/>
      </c>
      <c r="N22" s="12"/>
      <c r="O22" s="12"/>
      <c r="P22" s="14" t="str">
        <f aca="false">IF($A22="","",SUM(L22,O22))</f>
        <v/>
      </c>
    </row>
    <row r="23" customFormat="false" ht="15" hidden="false" customHeight="false" outlineLevel="0" collapsed="false">
      <c r="A23" s="15" t="s">
        <v>73</v>
      </c>
      <c r="B23" s="16"/>
      <c r="C23" s="16" t="n">
        <f aca="false">SUMIFS(C$3:C$22,$B$3:$B$22,"ERPI")</f>
        <v>0</v>
      </c>
      <c r="D23" s="16" t="n">
        <f aca="false">SUMIFS(D$3:D$22,$B$3:$B$22,"ERPI")</f>
        <v>0</v>
      </c>
      <c r="E23" s="16" t="n">
        <f aca="false">SUMIFS(E$3:E$22,$B$3:$B$22,"ERPI")</f>
        <v>0</v>
      </c>
      <c r="F23" s="16" t="n">
        <f aca="false">SUMIFS(F$3:F$22,$B$3:$B$22,"ERPI")</f>
        <v>0</v>
      </c>
      <c r="G23" s="17" t="str">
        <f aca="false">IFERROR(F23/D23,"")</f>
        <v/>
      </c>
      <c r="H23" s="16" t="n">
        <f aca="false">SUMIFS(H$3:H$22,$B$3:$B$22,"ERPI")</f>
        <v>0</v>
      </c>
      <c r="I23" s="16" t="n">
        <f aca="false">SUMIFS(I$3:I$22,$B$3:$B$22,"ERPI")</f>
        <v>0</v>
      </c>
      <c r="J23" s="16" t="n">
        <f aca="false">SUM(F23,I23)</f>
        <v>0</v>
      </c>
      <c r="K23" s="16" t="n">
        <f aca="false">SUMIFS(K$3:K$22,$B$3:$B$22,"ERPI")</f>
        <v>0</v>
      </c>
      <c r="L23" s="16" t="n">
        <f aca="false">SUMIFS(L$3:L$22,$B$3:$B$22,"ERPI")</f>
        <v>0</v>
      </c>
      <c r="M23" s="17" t="str">
        <f aca="false">IFERROR(L23/D23,"")</f>
        <v/>
      </c>
      <c r="N23" s="16" t="n">
        <f aca="false">SUMIFS(N$3:N$22,$B$3:$B$22,"ERPI")</f>
        <v>0</v>
      </c>
      <c r="O23" s="16" t="n">
        <f aca="false">SUMIFS(O$3:O$22,$B$3:$B$22,"ERPI")</f>
        <v>0</v>
      </c>
      <c r="P23" s="16" t="n">
        <f aca="false">SUM(L23,O23)</f>
        <v>0</v>
      </c>
    </row>
    <row r="24" customFormat="false" ht="15" hidden="false" customHeight="false" outlineLevel="0" collapsed="false">
      <c r="A24" s="18" t="s">
        <v>74</v>
      </c>
      <c r="B24" s="19"/>
      <c r="C24" s="19" t="n">
        <f aca="false">C25-C23</f>
        <v>0</v>
      </c>
      <c r="D24" s="19" t="n">
        <f aca="false">D25-D23</f>
        <v>0</v>
      </c>
      <c r="E24" s="19" t="n">
        <f aca="false">E25-E23</f>
        <v>0</v>
      </c>
      <c r="F24" s="19" t="n">
        <f aca="false">F25-F23</f>
        <v>0</v>
      </c>
      <c r="G24" s="20" t="str">
        <f aca="false">IFERROR(F24/D24,"")</f>
        <v/>
      </c>
      <c r="H24" s="19" t="n">
        <f aca="false">H25-H23</f>
        <v>0</v>
      </c>
      <c r="I24" s="19" t="n">
        <f aca="false">I25-I23</f>
        <v>0</v>
      </c>
      <c r="J24" s="19" t="n">
        <f aca="false">SUM(F24,I24)</f>
        <v>0</v>
      </c>
      <c r="K24" s="19" t="n">
        <f aca="false">K25-K23</f>
        <v>0</v>
      </c>
      <c r="L24" s="19" t="n">
        <f aca="false">L25-L23</f>
        <v>0</v>
      </c>
      <c r="M24" s="20" t="str">
        <f aca="false">IFERROR(L24/D24,"")</f>
        <v/>
      </c>
      <c r="N24" s="19" t="n">
        <f aca="false">N25-N23</f>
        <v>0</v>
      </c>
      <c r="O24" s="19" t="n">
        <f aca="false">O25-O23</f>
        <v>0</v>
      </c>
      <c r="P24" s="19" t="n">
        <f aca="false">SUM(L24,O24)</f>
        <v>0</v>
      </c>
    </row>
    <row r="25" customFormat="false" ht="15" hidden="false" customHeight="false" outlineLevel="0" collapsed="false">
      <c r="A25" s="21" t="s">
        <v>75</v>
      </c>
      <c r="B25" s="22"/>
      <c r="C25" s="22" t="n">
        <f aca="false">SUM(C$3:C$22)</f>
        <v>0</v>
      </c>
      <c r="D25" s="22" t="n">
        <f aca="false">SUM(D$3:D$22)</f>
        <v>0</v>
      </c>
      <c r="E25" s="22" t="n">
        <f aca="false">SUM(E$3:E$22)</f>
        <v>0</v>
      </c>
      <c r="F25" s="22" t="n">
        <f aca="false">SUM(F$3:F$22)</f>
        <v>0</v>
      </c>
      <c r="G25" s="23" t="str">
        <f aca="false">IFERROR(F25/D25,"")</f>
        <v/>
      </c>
      <c r="H25" s="22" t="n">
        <f aca="false">SUM(H$3:H$22)</f>
        <v>0</v>
      </c>
      <c r="I25" s="22" t="n">
        <f aca="false">SUM(I$3:I$22)</f>
        <v>0</v>
      </c>
      <c r="J25" s="22" t="n">
        <f aca="false">SUM(F25,I25)</f>
        <v>0</v>
      </c>
      <c r="K25" s="22" t="n">
        <f aca="false">SUM(K$3:K$22)</f>
        <v>0</v>
      </c>
      <c r="L25" s="22" t="n">
        <f aca="false">SUM(L$3:L$22)</f>
        <v>0</v>
      </c>
      <c r="M25" s="23" t="str">
        <f aca="false">IFERROR(L25/D25,"")</f>
        <v/>
      </c>
      <c r="N25" s="22" t="n">
        <f aca="false">SUM(N$3:N$22)</f>
        <v>0</v>
      </c>
      <c r="O25" s="22" t="n">
        <f aca="false">SUM(O$3:O$22)</f>
        <v>0</v>
      </c>
      <c r="P25" s="22" t="n">
        <f aca="false">SUM(L25,O25)</f>
        <v>0</v>
      </c>
    </row>
  </sheetData>
  <sheetProtection sheet="true" formatColumns="false" formatRows="false"/>
  <mergeCells count="2">
    <mergeCell ref="E1:J1"/>
    <mergeCell ref="K1:P1"/>
  </mergeCells>
  <conditionalFormatting sqref="B3:B22">
    <cfRule type="expression" priority="2" aboveAverage="0" equalAverage="0" bottom="0" percent="0" rank="0" text="" dxfId="0">
      <formula>AND($A3&lt;&gt;"",$B3="")</formula>
    </cfRule>
  </conditionalFormatting>
  <conditionalFormatting sqref="E3:E22">
    <cfRule type="expression" priority="3" aboveAverage="0" equalAverage="0" bottom="0" percent="0" rank="0" text="" dxfId="0">
      <formula>AND(E3&lt;&gt;"",E3&gt;$D3)</formula>
    </cfRule>
  </conditionalFormatting>
  <conditionalFormatting sqref="F3:F22">
    <cfRule type="expression" priority="4" aboveAverage="0" equalAverage="0" bottom="0" percent="0" rank="0" text="" dxfId="0">
      <formula>AND(F3&lt;&gt;"",F3&gt;$D3)</formula>
    </cfRule>
  </conditionalFormatting>
  <conditionalFormatting sqref="H3:H22">
    <cfRule type="expression" priority="5" aboveAverage="0" equalAverage="0" bottom="0" percent="0" rank="0" text="" dxfId="0">
      <formula>AND(H3&lt;&gt;"",H3&gt;$C3)</formula>
    </cfRule>
  </conditionalFormatting>
  <conditionalFormatting sqref="I3:I22">
    <cfRule type="expression" priority="6" aboveAverage="0" equalAverage="0" bottom="0" percent="0" rank="0" text="" dxfId="0">
      <formula>AND(I3&lt;&gt;"",I3&gt;$C3)</formula>
    </cfRule>
  </conditionalFormatting>
  <conditionalFormatting sqref="K3:K22">
    <cfRule type="expression" priority="7" aboveAverage="0" equalAverage="0" bottom="0" percent="0" rank="0" text="" dxfId="0">
      <formula>AND(K3&lt;&gt;"",K3&gt;$D3)</formula>
    </cfRule>
  </conditionalFormatting>
  <conditionalFormatting sqref="L3:L22">
    <cfRule type="expression" priority="8" aboveAverage="0" equalAverage="0" bottom="0" percent="0" rank="0" text="" dxfId="0">
      <formula>AND(L3&lt;&gt;"",L3&gt;$D3)</formula>
    </cfRule>
  </conditionalFormatting>
  <conditionalFormatting sqref="N3:N22">
    <cfRule type="expression" priority="9" aboveAverage="0" equalAverage="0" bottom="0" percent="0" rank="0" text="" dxfId="0">
      <formula>AND(N3&lt;&gt;"",N3&gt;$C3)</formula>
    </cfRule>
  </conditionalFormatting>
  <conditionalFormatting sqref="O3:O22">
    <cfRule type="expression" priority="10" aboveAverage="0" equalAverage="0" bottom="0" percent="0" rank="0" text="" dxfId="0">
      <formula>AND(O3&lt;&gt;"",O3&gt;$C3)</formula>
    </cfRule>
  </conditionalFormatting>
  <dataValidations count="1">
    <dataValidation allowBlank="true" error="Escolher: ERPI, CD, Lar Residencial ou UCCI" errorStyle="stop" errorTitle="Tipologia inválida" operator="between" showDropDown="false" showErrorMessage="true" showInputMessage="false" sqref="B3:B22" type="list">
      <formula1>"ERPI,CD,Lar Residencial,UCCI"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5"/>
    <col collapsed="false" customWidth="true" hidden="false" outlineLevel="0" max="16" min="3" style="0" width="13"/>
  </cols>
  <sheetData>
    <row r="1" customFormat="false" ht="15" hidden="false" customHeight="true" outlineLevel="0" collapsed="false">
      <c r="E1" s="7" t="s">
        <v>24</v>
      </c>
      <c r="F1" s="7"/>
      <c r="G1" s="7"/>
      <c r="H1" s="7"/>
      <c r="I1" s="7"/>
      <c r="J1" s="7"/>
      <c r="K1" s="8" t="s">
        <v>25</v>
      </c>
      <c r="L1" s="8"/>
      <c r="M1" s="8"/>
      <c r="N1" s="8"/>
      <c r="O1" s="8"/>
      <c r="P1" s="8"/>
    </row>
    <row r="2" customFormat="false" ht="35.05" hidden="false" customHeight="false" outlineLevel="0" collapsed="false">
      <c r="A2" s="4" t="s">
        <v>26</v>
      </c>
      <c r="B2" s="4" t="s">
        <v>17</v>
      </c>
      <c r="C2" s="4" t="s">
        <v>27</v>
      </c>
      <c r="D2" s="4" t="s">
        <v>19</v>
      </c>
      <c r="E2" s="9" t="s">
        <v>28</v>
      </c>
      <c r="F2" s="9" t="s">
        <v>29</v>
      </c>
      <c r="G2" s="9" t="s">
        <v>30</v>
      </c>
      <c r="H2" s="9" t="s">
        <v>31</v>
      </c>
      <c r="I2" s="9" t="s">
        <v>32</v>
      </c>
      <c r="J2" s="9" t="s">
        <v>33</v>
      </c>
      <c r="K2" s="10" t="s">
        <v>28</v>
      </c>
      <c r="L2" s="10" t="s">
        <v>29</v>
      </c>
      <c r="M2" s="10" t="s">
        <v>30</v>
      </c>
      <c r="N2" s="10" t="s">
        <v>31</v>
      </c>
      <c r="O2" s="10" t="s">
        <v>32</v>
      </c>
      <c r="P2" s="10" t="s">
        <v>33</v>
      </c>
    </row>
    <row r="3" customFormat="false" ht="15" hidden="false" customHeight="false" outlineLevel="0" collapsed="false">
      <c r="A3" s="11" t="s">
        <v>167</v>
      </c>
      <c r="B3" s="12" t="s">
        <v>23</v>
      </c>
      <c r="C3" s="12"/>
      <c r="D3" s="12"/>
      <c r="E3" s="12"/>
      <c r="F3" s="12"/>
      <c r="G3" s="13" t="str">
        <f aca="false">IF($A3="","",IFERROR(F3/$D3,""))</f>
        <v/>
      </c>
      <c r="H3" s="12"/>
      <c r="I3" s="12"/>
      <c r="J3" s="14" t="n">
        <f aca="false">IF($A3="","",SUM(F3,I3))</f>
        <v>0</v>
      </c>
      <c r="K3" s="12"/>
      <c r="L3" s="12"/>
      <c r="M3" s="13" t="str">
        <f aca="false">IF($A3="","",IFERROR(L3/$D3,""))</f>
        <v/>
      </c>
      <c r="N3" s="12"/>
      <c r="O3" s="12"/>
      <c r="P3" s="14" t="n">
        <f aca="false">IF($A3="","",SUM(L3,O3))</f>
        <v>0</v>
      </c>
    </row>
    <row r="4" customFormat="false" ht="15" hidden="false" customHeight="false" outlineLevel="0" collapsed="false">
      <c r="A4" s="11" t="s">
        <v>168</v>
      </c>
      <c r="B4" s="12" t="s">
        <v>23</v>
      </c>
      <c r="C4" s="12"/>
      <c r="D4" s="12"/>
      <c r="E4" s="12"/>
      <c r="F4" s="12"/>
      <c r="G4" s="13" t="str">
        <f aca="false">IF($A4="","",IFERROR(F4/$D4,""))</f>
        <v/>
      </c>
      <c r="H4" s="12"/>
      <c r="I4" s="12"/>
      <c r="J4" s="14" t="n">
        <f aca="false">IF($A4="","",SUM(F4,I4))</f>
        <v>0</v>
      </c>
      <c r="K4" s="12"/>
      <c r="L4" s="12"/>
      <c r="M4" s="13" t="str">
        <f aca="false">IF($A4="","",IFERROR(L4/$D4,""))</f>
        <v/>
      </c>
      <c r="N4" s="12"/>
      <c r="O4" s="12"/>
      <c r="P4" s="14" t="n">
        <f aca="false">IF($A4="","",SUM(L4,O4))</f>
        <v>0</v>
      </c>
    </row>
    <row r="5" customFormat="false" ht="15" hidden="false" customHeight="false" outlineLevel="0" collapsed="false">
      <c r="A5" s="11" t="s">
        <v>169</v>
      </c>
      <c r="B5" s="12" t="s">
        <v>23</v>
      </c>
      <c r="C5" s="12"/>
      <c r="D5" s="12"/>
      <c r="E5" s="12"/>
      <c r="F5" s="12"/>
      <c r="G5" s="13" t="str">
        <f aca="false">IF($A5="","",IFERROR(F5/$D5,""))</f>
        <v/>
      </c>
      <c r="H5" s="12"/>
      <c r="I5" s="12"/>
      <c r="J5" s="14" t="n">
        <f aca="false">IF($A5="","",SUM(F5,I5))</f>
        <v>0</v>
      </c>
      <c r="K5" s="12"/>
      <c r="L5" s="12"/>
      <c r="M5" s="13" t="str">
        <f aca="false">IF($A5="","",IFERROR(L5/$D5,""))</f>
        <v/>
      </c>
      <c r="N5" s="12"/>
      <c r="O5" s="12"/>
      <c r="P5" s="14" t="n">
        <f aca="false">IF($A5="","",SUM(L5,O5))</f>
        <v>0</v>
      </c>
    </row>
    <row r="6" customFormat="false" ht="15" hidden="false" customHeight="false" outlineLevel="0" collapsed="false">
      <c r="A6" s="11" t="s">
        <v>170</v>
      </c>
      <c r="B6" s="12" t="s">
        <v>23</v>
      </c>
      <c r="C6" s="12"/>
      <c r="D6" s="12"/>
      <c r="E6" s="12"/>
      <c r="F6" s="12"/>
      <c r="G6" s="13" t="str">
        <f aca="false">IF($A6="","",IFERROR(F6/$D6,""))</f>
        <v/>
      </c>
      <c r="H6" s="12"/>
      <c r="I6" s="12"/>
      <c r="J6" s="14" t="n">
        <f aca="false">IF($A6="","",SUM(F6,I6))</f>
        <v>0</v>
      </c>
      <c r="K6" s="12"/>
      <c r="L6" s="12"/>
      <c r="M6" s="13" t="str">
        <f aca="false">IF($A6="","",IFERROR(L6/$D6,""))</f>
        <v/>
      </c>
      <c r="N6" s="12"/>
      <c r="O6" s="12"/>
      <c r="P6" s="14" t="n">
        <f aca="false">IF($A6="","",SUM(L6,O6))</f>
        <v>0</v>
      </c>
    </row>
    <row r="7" customFormat="false" ht="15" hidden="false" customHeight="false" outlineLevel="0" collapsed="false">
      <c r="A7" s="11" t="s">
        <v>171</v>
      </c>
      <c r="B7" s="12" t="s">
        <v>23</v>
      </c>
      <c r="C7" s="12"/>
      <c r="D7" s="12"/>
      <c r="E7" s="12"/>
      <c r="F7" s="12"/>
      <c r="G7" s="13" t="str">
        <f aca="false">IF($A7="","",IFERROR(F7/$D7,""))</f>
        <v/>
      </c>
      <c r="H7" s="12"/>
      <c r="I7" s="12"/>
      <c r="J7" s="14" t="n">
        <f aca="false">IF($A7="","",SUM(F7,I7))</f>
        <v>0</v>
      </c>
      <c r="K7" s="12"/>
      <c r="L7" s="12"/>
      <c r="M7" s="13" t="str">
        <f aca="false">IF($A7="","",IFERROR(L7/$D7,""))</f>
        <v/>
      </c>
      <c r="N7" s="12"/>
      <c r="O7" s="12"/>
      <c r="P7" s="14" t="n">
        <f aca="false">IF($A7="","",SUM(L7,O7))</f>
        <v>0</v>
      </c>
    </row>
    <row r="8" customFormat="false" ht="15" hidden="false" customHeight="false" outlineLevel="0" collapsed="false">
      <c r="A8" s="11" t="s">
        <v>172</v>
      </c>
      <c r="B8" s="12" t="s">
        <v>69</v>
      </c>
      <c r="C8" s="12"/>
      <c r="D8" s="12"/>
      <c r="E8" s="12"/>
      <c r="F8" s="12"/>
      <c r="G8" s="13" t="str">
        <f aca="false">IF($A8="","",IFERROR(F8/$D8,""))</f>
        <v/>
      </c>
      <c r="H8" s="12"/>
      <c r="I8" s="12"/>
      <c r="J8" s="14" t="n">
        <f aca="false">IF($A8="","",SUM(F8,I8))</f>
        <v>0</v>
      </c>
      <c r="K8" s="12"/>
      <c r="L8" s="12"/>
      <c r="M8" s="13" t="str">
        <f aca="false">IF($A8="","",IFERROR(L8/$D8,""))</f>
        <v/>
      </c>
      <c r="N8" s="12"/>
      <c r="O8" s="12"/>
      <c r="P8" s="14" t="n">
        <f aca="false">IF($A8="","",SUM(L8,O8))</f>
        <v>0</v>
      </c>
    </row>
    <row r="9" customFormat="false" ht="15" hidden="false" customHeight="false" outlineLevel="0" collapsed="false">
      <c r="A9" s="11" t="s">
        <v>173</v>
      </c>
      <c r="B9" s="12" t="s">
        <v>51</v>
      </c>
      <c r="C9" s="12"/>
      <c r="D9" s="12"/>
      <c r="E9" s="12"/>
      <c r="F9" s="12"/>
      <c r="G9" s="13" t="str">
        <f aca="false">IF($A9="","",IFERROR(F9/$D9,""))</f>
        <v/>
      </c>
      <c r="H9" s="12"/>
      <c r="I9" s="12"/>
      <c r="J9" s="14" t="n">
        <f aca="false">IF($A9="","",SUM(F9,I9))</f>
        <v>0</v>
      </c>
      <c r="K9" s="12"/>
      <c r="L9" s="12"/>
      <c r="M9" s="13" t="str">
        <f aca="false">IF($A9="","",IFERROR(L9/$D9,""))</f>
        <v/>
      </c>
      <c r="N9" s="12"/>
      <c r="O9" s="12"/>
      <c r="P9" s="14" t="n">
        <f aca="false">IF($A9="","",SUM(L9,O9))</f>
        <v>0</v>
      </c>
    </row>
    <row r="10" customFormat="false" ht="15" hidden="false" customHeight="false" outlineLevel="0" collapsed="false">
      <c r="A10" s="11" t="s">
        <v>174</v>
      </c>
      <c r="B10" s="12" t="s">
        <v>51</v>
      </c>
      <c r="C10" s="12"/>
      <c r="D10" s="12"/>
      <c r="E10" s="12"/>
      <c r="F10" s="12"/>
      <c r="G10" s="13" t="str">
        <f aca="false">IF($A10="","",IFERROR(F10/$D10,""))</f>
        <v/>
      </c>
      <c r="H10" s="12"/>
      <c r="I10" s="12"/>
      <c r="J10" s="14" t="n">
        <f aca="false">IF($A10="","",SUM(F10,I10))</f>
        <v>0</v>
      </c>
      <c r="K10" s="12"/>
      <c r="L10" s="12"/>
      <c r="M10" s="13" t="str">
        <f aca="false">IF($A10="","",IFERROR(L10/$D10,""))</f>
        <v/>
      </c>
      <c r="N10" s="12"/>
      <c r="O10" s="12"/>
      <c r="P10" s="14" t="n">
        <f aca="false">IF($A10="","",SUM(L10,O10))</f>
        <v>0</v>
      </c>
    </row>
    <row r="11" customFormat="false" ht="15" hidden="false" customHeight="false" outlineLevel="0" collapsed="false">
      <c r="A11" s="11" t="s">
        <v>175</v>
      </c>
      <c r="B11" s="12" t="s">
        <v>72</v>
      </c>
      <c r="C11" s="12"/>
      <c r="D11" s="12"/>
      <c r="E11" s="12"/>
      <c r="F11" s="12"/>
      <c r="G11" s="13" t="str">
        <f aca="false">IF($A11="","",IFERROR(F11/$D11,""))</f>
        <v/>
      </c>
      <c r="H11" s="12"/>
      <c r="I11" s="12"/>
      <c r="J11" s="14" t="n">
        <f aca="false">IF($A11="","",SUM(F11,I11))</f>
        <v>0</v>
      </c>
      <c r="K11" s="12"/>
      <c r="L11" s="12"/>
      <c r="M11" s="13" t="str">
        <f aca="false">IF($A11="","",IFERROR(L11/$D11,""))</f>
        <v/>
      </c>
      <c r="N11" s="12"/>
      <c r="O11" s="12"/>
      <c r="P11" s="14" t="n">
        <f aca="false">IF($A11="","",SUM(L11,O11))</f>
        <v>0</v>
      </c>
    </row>
    <row r="12" customFormat="false" ht="15" hidden="false" customHeight="false" outlineLevel="0" collapsed="false">
      <c r="A12" s="11"/>
      <c r="B12" s="12"/>
      <c r="C12" s="12"/>
      <c r="D12" s="12"/>
      <c r="E12" s="12"/>
      <c r="F12" s="12"/>
      <c r="G12" s="13" t="str">
        <f aca="false">IF($A12="","",IFERROR(F12/$D12,""))</f>
        <v/>
      </c>
      <c r="H12" s="12"/>
      <c r="I12" s="12"/>
      <c r="J12" s="14" t="str">
        <f aca="false">IF($A12="","",SUM(F12,I12))</f>
        <v/>
      </c>
      <c r="K12" s="12"/>
      <c r="L12" s="12"/>
      <c r="M12" s="13" t="str">
        <f aca="false">IF($A12="","",IFERROR(L12/$D12,""))</f>
        <v/>
      </c>
      <c r="N12" s="12"/>
      <c r="O12" s="12"/>
      <c r="P12" s="14" t="str">
        <f aca="false">IF($A12="","",SUM(L12,O12))</f>
        <v/>
      </c>
    </row>
    <row r="13" customFormat="false" ht="15" hidden="false" customHeight="false" outlineLevel="0" collapsed="false">
      <c r="A13" s="11"/>
      <c r="B13" s="12"/>
      <c r="C13" s="12"/>
      <c r="D13" s="12"/>
      <c r="E13" s="12"/>
      <c r="F13" s="12"/>
      <c r="G13" s="13" t="str">
        <f aca="false">IF($A13="","",IFERROR(F13/$D13,""))</f>
        <v/>
      </c>
      <c r="H13" s="12"/>
      <c r="I13" s="12"/>
      <c r="J13" s="14" t="str">
        <f aca="false">IF($A13="","",SUM(F13,I13))</f>
        <v/>
      </c>
      <c r="K13" s="12"/>
      <c r="L13" s="12"/>
      <c r="M13" s="13" t="str">
        <f aca="false">IF($A13="","",IFERROR(L13/$D13,""))</f>
        <v/>
      </c>
      <c r="N13" s="12"/>
      <c r="O13" s="12"/>
      <c r="P13" s="14" t="str">
        <f aca="false">IF($A13="","",SUM(L13,O13))</f>
        <v/>
      </c>
    </row>
    <row r="14" customFormat="false" ht="15" hidden="false" customHeight="false" outlineLevel="0" collapsed="false">
      <c r="A14" s="11"/>
      <c r="B14" s="12"/>
      <c r="C14" s="12"/>
      <c r="D14" s="12"/>
      <c r="E14" s="12"/>
      <c r="F14" s="12"/>
      <c r="G14" s="13" t="str">
        <f aca="false">IF($A14="","",IFERROR(F14/$D14,""))</f>
        <v/>
      </c>
      <c r="H14" s="12"/>
      <c r="I14" s="12"/>
      <c r="J14" s="14" t="str">
        <f aca="false">IF($A14="","",SUM(F14,I14))</f>
        <v/>
      </c>
      <c r="K14" s="12"/>
      <c r="L14" s="12"/>
      <c r="M14" s="13" t="str">
        <f aca="false">IF($A14="","",IFERROR(L14/$D14,""))</f>
        <v/>
      </c>
      <c r="N14" s="12"/>
      <c r="O14" s="12"/>
      <c r="P14" s="14" t="str">
        <f aca="false">IF($A14="","",SUM(L14,O14))</f>
        <v/>
      </c>
    </row>
    <row r="15" customFormat="false" ht="15" hidden="false" customHeight="false" outlineLevel="0" collapsed="false">
      <c r="A15" s="11"/>
      <c r="B15" s="12"/>
      <c r="C15" s="12"/>
      <c r="D15" s="12"/>
      <c r="E15" s="12"/>
      <c r="F15" s="12"/>
      <c r="G15" s="13" t="str">
        <f aca="false">IF($A15="","",IFERROR(F15/$D15,""))</f>
        <v/>
      </c>
      <c r="H15" s="12"/>
      <c r="I15" s="12"/>
      <c r="J15" s="14" t="str">
        <f aca="false">IF($A15="","",SUM(F15,I15))</f>
        <v/>
      </c>
      <c r="K15" s="12"/>
      <c r="L15" s="12"/>
      <c r="M15" s="13" t="str">
        <f aca="false">IF($A15="","",IFERROR(L15/$D15,""))</f>
        <v/>
      </c>
      <c r="N15" s="12"/>
      <c r="O15" s="12"/>
      <c r="P15" s="14" t="str">
        <f aca="false">IF($A15="","",SUM(L15,O15))</f>
        <v/>
      </c>
    </row>
    <row r="16" customFormat="false" ht="15" hidden="false" customHeight="false" outlineLevel="0" collapsed="false">
      <c r="A16" s="15" t="s">
        <v>73</v>
      </c>
      <c r="B16" s="16"/>
      <c r="C16" s="16" t="n">
        <f aca="false">SUMIFS(C$3:C$15,$B$3:$B$15,"ERPI")</f>
        <v>0</v>
      </c>
      <c r="D16" s="16" t="n">
        <f aca="false">SUMIFS(D$3:D$15,$B$3:$B$15,"ERPI")</f>
        <v>0</v>
      </c>
      <c r="E16" s="16" t="n">
        <f aca="false">SUMIFS(E$3:E$15,$B$3:$B$15,"ERPI")</f>
        <v>0</v>
      </c>
      <c r="F16" s="16" t="n">
        <f aca="false">SUMIFS(F$3:F$15,$B$3:$B$15,"ERPI")</f>
        <v>0</v>
      </c>
      <c r="G16" s="17" t="str">
        <f aca="false">IFERROR(F16/D16,"")</f>
        <v/>
      </c>
      <c r="H16" s="16" t="n">
        <f aca="false">SUMIFS(H$3:H$15,$B$3:$B$15,"ERPI")</f>
        <v>0</v>
      </c>
      <c r="I16" s="16" t="n">
        <f aca="false">SUMIFS(I$3:I$15,$B$3:$B$15,"ERPI")</f>
        <v>0</v>
      </c>
      <c r="J16" s="16" t="n">
        <f aca="false">SUM(F16,I16)</f>
        <v>0</v>
      </c>
      <c r="K16" s="16" t="n">
        <f aca="false">SUMIFS(K$3:K$15,$B$3:$B$15,"ERPI")</f>
        <v>0</v>
      </c>
      <c r="L16" s="16" t="n">
        <f aca="false">SUMIFS(L$3:L$15,$B$3:$B$15,"ERPI")</f>
        <v>0</v>
      </c>
      <c r="M16" s="17" t="str">
        <f aca="false">IFERROR(L16/D16,"")</f>
        <v/>
      </c>
      <c r="N16" s="16" t="n">
        <f aca="false">SUMIFS(N$3:N$15,$B$3:$B$15,"ERPI")</f>
        <v>0</v>
      </c>
      <c r="O16" s="16" t="n">
        <f aca="false">SUMIFS(O$3:O$15,$B$3:$B$15,"ERPI")</f>
        <v>0</v>
      </c>
      <c r="P16" s="16" t="n">
        <f aca="false">SUM(L16,O16)</f>
        <v>0</v>
      </c>
    </row>
    <row r="17" customFormat="false" ht="15" hidden="false" customHeight="false" outlineLevel="0" collapsed="false">
      <c r="A17" s="18" t="s">
        <v>74</v>
      </c>
      <c r="B17" s="19"/>
      <c r="C17" s="19" t="n">
        <f aca="false">C18-C16</f>
        <v>0</v>
      </c>
      <c r="D17" s="19" t="n">
        <f aca="false">D18-D16</f>
        <v>0</v>
      </c>
      <c r="E17" s="19" t="n">
        <f aca="false">E18-E16</f>
        <v>0</v>
      </c>
      <c r="F17" s="19" t="n">
        <f aca="false">F18-F16</f>
        <v>0</v>
      </c>
      <c r="G17" s="20" t="str">
        <f aca="false">IFERROR(F17/D17,"")</f>
        <v/>
      </c>
      <c r="H17" s="19" t="n">
        <f aca="false">H18-H16</f>
        <v>0</v>
      </c>
      <c r="I17" s="19" t="n">
        <f aca="false">I18-I16</f>
        <v>0</v>
      </c>
      <c r="J17" s="19" t="n">
        <f aca="false">SUM(F17,I17)</f>
        <v>0</v>
      </c>
      <c r="K17" s="19" t="n">
        <f aca="false">K18-K16</f>
        <v>0</v>
      </c>
      <c r="L17" s="19" t="n">
        <f aca="false">L18-L16</f>
        <v>0</v>
      </c>
      <c r="M17" s="20" t="str">
        <f aca="false">IFERROR(L17/D17,"")</f>
        <v/>
      </c>
      <c r="N17" s="19" t="n">
        <f aca="false">N18-N16</f>
        <v>0</v>
      </c>
      <c r="O17" s="19" t="n">
        <f aca="false">O18-O16</f>
        <v>0</v>
      </c>
      <c r="P17" s="19" t="n">
        <f aca="false">SUM(L17,O17)</f>
        <v>0</v>
      </c>
    </row>
    <row r="18" customFormat="false" ht="15" hidden="false" customHeight="false" outlineLevel="0" collapsed="false">
      <c r="A18" s="21" t="s">
        <v>75</v>
      </c>
      <c r="B18" s="22"/>
      <c r="C18" s="22" t="n">
        <f aca="false">SUM(C$3:C$15)</f>
        <v>0</v>
      </c>
      <c r="D18" s="22" t="n">
        <f aca="false">SUM(D$3:D$15)</f>
        <v>0</v>
      </c>
      <c r="E18" s="22" t="n">
        <f aca="false">SUM(E$3:E$15)</f>
        <v>0</v>
      </c>
      <c r="F18" s="22" t="n">
        <f aca="false">SUM(F$3:F$15)</f>
        <v>0</v>
      </c>
      <c r="G18" s="23" t="str">
        <f aca="false">IFERROR(F18/D18,"")</f>
        <v/>
      </c>
      <c r="H18" s="22" t="n">
        <f aca="false">SUM(H$3:H$15)</f>
        <v>0</v>
      </c>
      <c r="I18" s="22" t="n">
        <f aca="false">SUM(I$3:I$15)</f>
        <v>0</v>
      </c>
      <c r="J18" s="22" t="n">
        <f aca="false">SUM(F18,I18)</f>
        <v>0</v>
      </c>
      <c r="K18" s="22" t="n">
        <f aca="false">SUM(K$3:K$15)</f>
        <v>0</v>
      </c>
      <c r="L18" s="22" t="n">
        <f aca="false">SUM(L$3:L$15)</f>
        <v>0</v>
      </c>
      <c r="M18" s="23" t="str">
        <f aca="false">IFERROR(L18/D18,"")</f>
        <v/>
      </c>
      <c r="N18" s="22" t="n">
        <f aca="false">SUM(N$3:N$15)</f>
        <v>0</v>
      </c>
      <c r="O18" s="22" t="n">
        <f aca="false">SUM(O$3:O$15)</f>
        <v>0</v>
      </c>
      <c r="P18" s="22" t="n">
        <f aca="false">SUM(L18,O18)</f>
        <v>0</v>
      </c>
    </row>
  </sheetData>
  <sheetProtection sheet="true" formatColumns="false" formatRows="false"/>
  <mergeCells count="2">
    <mergeCell ref="E1:J1"/>
    <mergeCell ref="K1:P1"/>
  </mergeCells>
  <conditionalFormatting sqref="B3:B15">
    <cfRule type="expression" priority="2" aboveAverage="0" equalAverage="0" bottom="0" percent="0" rank="0" text="" dxfId="0">
      <formula>AND($A3&lt;&gt;"",$B3="")</formula>
    </cfRule>
  </conditionalFormatting>
  <conditionalFormatting sqref="E3:E15">
    <cfRule type="expression" priority="3" aboveAverage="0" equalAverage="0" bottom="0" percent="0" rank="0" text="" dxfId="0">
      <formula>AND(E3&lt;&gt;"",E3&gt;$D3)</formula>
    </cfRule>
  </conditionalFormatting>
  <conditionalFormatting sqref="F3:F15">
    <cfRule type="expression" priority="4" aboveAverage="0" equalAverage="0" bottom="0" percent="0" rank="0" text="" dxfId="0">
      <formula>AND(F3&lt;&gt;"",F3&gt;$D3)</formula>
    </cfRule>
  </conditionalFormatting>
  <conditionalFormatting sqref="H3:H15">
    <cfRule type="expression" priority="5" aboveAverage="0" equalAverage="0" bottom="0" percent="0" rank="0" text="" dxfId="0">
      <formula>AND(H3&lt;&gt;"",H3&gt;$C3)</formula>
    </cfRule>
  </conditionalFormatting>
  <conditionalFormatting sqref="I3:I15">
    <cfRule type="expression" priority="6" aboveAverage="0" equalAverage="0" bottom="0" percent="0" rank="0" text="" dxfId="0">
      <formula>AND(I3&lt;&gt;"",I3&gt;$C3)</formula>
    </cfRule>
  </conditionalFormatting>
  <conditionalFormatting sqref="K3:K15">
    <cfRule type="expression" priority="7" aboveAverage="0" equalAverage="0" bottom="0" percent="0" rank="0" text="" dxfId="0">
      <formula>AND(K3&lt;&gt;"",K3&gt;$D3)</formula>
    </cfRule>
  </conditionalFormatting>
  <conditionalFormatting sqref="L3:L15">
    <cfRule type="expression" priority="8" aboveAverage="0" equalAverage="0" bottom="0" percent="0" rank="0" text="" dxfId="0">
      <formula>AND(L3&lt;&gt;"",L3&gt;$D3)</formula>
    </cfRule>
  </conditionalFormatting>
  <conditionalFormatting sqref="N3:N15">
    <cfRule type="expression" priority="9" aboveAverage="0" equalAverage="0" bottom="0" percent="0" rank="0" text="" dxfId="0">
      <formula>AND(N3&lt;&gt;"",N3&gt;$C3)</formula>
    </cfRule>
  </conditionalFormatting>
  <conditionalFormatting sqref="O3:O15">
    <cfRule type="expression" priority="10" aboveAverage="0" equalAverage="0" bottom="0" percent="0" rank="0" text="" dxfId="0">
      <formula>AND(O3&lt;&gt;"",O3&gt;$C3)</formula>
    </cfRule>
  </conditionalFormatting>
  <dataValidations count="1">
    <dataValidation allowBlank="true" error="Escolher: ERPI, CD, Lar Residencial ou UCCI" errorStyle="stop" errorTitle="Tipologia inválida" operator="between" showDropDown="false" showErrorMessage="true" showInputMessage="false" sqref="B3:B15" type="list">
      <formula1>"ERPI,CD,Lar Residencial,UCCI"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5"/>
    <col collapsed="false" customWidth="true" hidden="false" outlineLevel="0" max="16" min="3" style="0" width="13"/>
  </cols>
  <sheetData>
    <row r="1" customFormat="false" ht="15" hidden="false" customHeight="true" outlineLevel="0" collapsed="false">
      <c r="E1" s="7" t="s">
        <v>24</v>
      </c>
      <c r="F1" s="7"/>
      <c r="G1" s="7"/>
      <c r="H1" s="7"/>
      <c r="I1" s="7"/>
      <c r="J1" s="7"/>
      <c r="K1" s="8" t="s">
        <v>25</v>
      </c>
      <c r="L1" s="8"/>
      <c r="M1" s="8"/>
      <c r="N1" s="8"/>
      <c r="O1" s="8"/>
      <c r="P1" s="8"/>
    </row>
    <row r="2" customFormat="false" ht="35.05" hidden="false" customHeight="false" outlineLevel="0" collapsed="false">
      <c r="A2" s="4" t="s">
        <v>26</v>
      </c>
      <c r="B2" s="4" t="s">
        <v>17</v>
      </c>
      <c r="C2" s="4" t="s">
        <v>27</v>
      </c>
      <c r="D2" s="4" t="s">
        <v>19</v>
      </c>
      <c r="E2" s="9" t="s">
        <v>28</v>
      </c>
      <c r="F2" s="9" t="s">
        <v>29</v>
      </c>
      <c r="G2" s="9" t="s">
        <v>30</v>
      </c>
      <c r="H2" s="9" t="s">
        <v>31</v>
      </c>
      <c r="I2" s="9" t="s">
        <v>32</v>
      </c>
      <c r="J2" s="9" t="s">
        <v>33</v>
      </c>
      <c r="K2" s="10" t="s">
        <v>28</v>
      </c>
      <c r="L2" s="10" t="s">
        <v>29</v>
      </c>
      <c r="M2" s="10" t="s">
        <v>30</v>
      </c>
      <c r="N2" s="10" t="s">
        <v>31</v>
      </c>
      <c r="O2" s="10" t="s">
        <v>32</v>
      </c>
      <c r="P2" s="10" t="s">
        <v>33</v>
      </c>
    </row>
    <row r="3" customFormat="false" ht="15" hidden="false" customHeight="false" outlineLevel="0" collapsed="false">
      <c r="A3" s="11" t="s">
        <v>176</v>
      </c>
      <c r="B3" s="12" t="s">
        <v>23</v>
      </c>
      <c r="C3" s="12"/>
      <c r="D3" s="12"/>
      <c r="E3" s="12"/>
      <c r="F3" s="12"/>
      <c r="G3" s="13" t="str">
        <f aca="false">IF($A3="","",IFERROR(F3/$D3,""))</f>
        <v/>
      </c>
      <c r="H3" s="12"/>
      <c r="I3" s="12"/>
      <c r="J3" s="14" t="n">
        <f aca="false">IF($A3="","",SUM(F3,I3))</f>
        <v>0</v>
      </c>
      <c r="K3" s="12"/>
      <c r="L3" s="12"/>
      <c r="M3" s="13" t="str">
        <f aca="false">IF($A3="","",IFERROR(L3/$D3,""))</f>
        <v/>
      </c>
      <c r="N3" s="12"/>
      <c r="O3" s="12"/>
      <c r="P3" s="14" t="n">
        <f aca="false">IF($A3="","",SUM(L3,O3))</f>
        <v>0</v>
      </c>
    </row>
    <row r="4" customFormat="false" ht="15" hidden="false" customHeight="false" outlineLevel="0" collapsed="false">
      <c r="A4" s="11" t="s">
        <v>177</v>
      </c>
      <c r="B4" s="12" t="s">
        <v>23</v>
      </c>
      <c r="C4" s="12"/>
      <c r="D4" s="12"/>
      <c r="E4" s="12"/>
      <c r="F4" s="12"/>
      <c r="G4" s="13" t="str">
        <f aca="false">IF($A4="","",IFERROR(F4/$D4,""))</f>
        <v/>
      </c>
      <c r="H4" s="12"/>
      <c r="I4" s="12"/>
      <c r="J4" s="14" t="n">
        <f aca="false">IF($A4="","",SUM(F4,I4))</f>
        <v>0</v>
      </c>
      <c r="K4" s="12"/>
      <c r="L4" s="12"/>
      <c r="M4" s="13" t="str">
        <f aca="false">IF($A4="","",IFERROR(L4/$D4,""))</f>
        <v/>
      </c>
      <c r="N4" s="12"/>
      <c r="O4" s="12"/>
      <c r="P4" s="14" t="n">
        <f aca="false">IF($A4="","",SUM(L4,O4))</f>
        <v>0</v>
      </c>
    </row>
    <row r="5" customFormat="false" ht="15" hidden="false" customHeight="false" outlineLevel="0" collapsed="false">
      <c r="A5" s="11" t="s">
        <v>178</v>
      </c>
      <c r="B5" s="12" t="s">
        <v>23</v>
      </c>
      <c r="C5" s="12"/>
      <c r="D5" s="12"/>
      <c r="E5" s="12"/>
      <c r="F5" s="12"/>
      <c r="G5" s="13" t="str">
        <f aca="false">IF($A5="","",IFERROR(F5/$D5,""))</f>
        <v/>
      </c>
      <c r="H5" s="12"/>
      <c r="I5" s="12"/>
      <c r="J5" s="14" t="n">
        <f aca="false">IF($A5="","",SUM(F5,I5))</f>
        <v>0</v>
      </c>
      <c r="K5" s="12"/>
      <c r="L5" s="12"/>
      <c r="M5" s="13" t="str">
        <f aca="false">IF($A5="","",IFERROR(L5/$D5,""))</f>
        <v/>
      </c>
      <c r="N5" s="12"/>
      <c r="O5" s="12"/>
      <c r="P5" s="14" t="n">
        <f aca="false">IF($A5="","",SUM(L5,O5))</f>
        <v>0</v>
      </c>
    </row>
    <row r="6" customFormat="false" ht="15" hidden="false" customHeight="false" outlineLevel="0" collapsed="false">
      <c r="A6" s="11" t="s">
        <v>179</v>
      </c>
      <c r="B6" s="12" t="s">
        <v>51</v>
      </c>
      <c r="C6" s="12"/>
      <c r="D6" s="12"/>
      <c r="E6" s="12"/>
      <c r="F6" s="12"/>
      <c r="G6" s="13" t="str">
        <f aca="false">IF($A6="","",IFERROR(F6/$D6,""))</f>
        <v/>
      </c>
      <c r="H6" s="12"/>
      <c r="I6" s="12"/>
      <c r="J6" s="14" t="n">
        <f aca="false">IF($A6="","",SUM(F6,I6))</f>
        <v>0</v>
      </c>
      <c r="K6" s="12"/>
      <c r="L6" s="12"/>
      <c r="M6" s="13" t="str">
        <f aca="false">IF($A6="","",IFERROR(L6/$D6,""))</f>
        <v/>
      </c>
      <c r="N6" s="12"/>
      <c r="O6" s="12"/>
      <c r="P6" s="14" t="n">
        <f aca="false">IF($A6="","",SUM(L6,O6))</f>
        <v>0</v>
      </c>
    </row>
    <row r="7" customFormat="false" ht="15" hidden="false" customHeight="false" outlineLevel="0" collapsed="false">
      <c r="A7" s="11" t="s">
        <v>180</v>
      </c>
      <c r="B7" s="12" t="s">
        <v>51</v>
      </c>
      <c r="C7" s="12"/>
      <c r="D7" s="12"/>
      <c r="E7" s="12"/>
      <c r="F7" s="12"/>
      <c r="G7" s="13" t="str">
        <f aca="false">IF($A7="","",IFERROR(F7/$D7,""))</f>
        <v/>
      </c>
      <c r="H7" s="12"/>
      <c r="I7" s="12"/>
      <c r="J7" s="14" t="n">
        <f aca="false">IF($A7="","",SUM(F7,I7))</f>
        <v>0</v>
      </c>
      <c r="K7" s="12"/>
      <c r="L7" s="12"/>
      <c r="M7" s="13" t="str">
        <f aca="false">IF($A7="","",IFERROR(L7/$D7,""))</f>
        <v/>
      </c>
      <c r="N7" s="12"/>
      <c r="O7" s="12"/>
      <c r="P7" s="14" t="n">
        <f aca="false">IF($A7="","",SUM(L7,O7))</f>
        <v>0</v>
      </c>
    </row>
    <row r="8" customFormat="false" ht="15" hidden="false" customHeight="false" outlineLevel="0" collapsed="false">
      <c r="A8" s="11" t="s">
        <v>181</v>
      </c>
      <c r="B8" s="12" t="s">
        <v>51</v>
      </c>
      <c r="C8" s="12"/>
      <c r="D8" s="12"/>
      <c r="E8" s="12"/>
      <c r="F8" s="12"/>
      <c r="G8" s="13" t="str">
        <f aca="false">IF($A8="","",IFERROR(F8/$D8,""))</f>
        <v/>
      </c>
      <c r="H8" s="12"/>
      <c r="I8" s="12"/>
      <c r="J8" s="14" t="n">
        <f aca="false">IF($A8="","",SUM(F8,I8))</f>
        <v>0</v>
      </c>
      <c r="K8" s="12"/>
      <c r="L8" s="12"/>
      <c r="M8" s="13" t="str">
        <f aca="false">IF($A8="","",IFERROR(L8/$D8,""))</f>
        <v/>
      </c>
      <c r="N8" s="12"/>
      <c r="O8" s="12"/>
      <c r="P8" s="14" t="n">
        <f aca="false">IF($A8="","",SUM(L8,O8))</f>
        <v>0</v>
      </c>
    </row>
    <row r="9" customFormat="false" ht="15" hidden="false" customHeight="false" outlineLevel="0" collapsed="false">
      <c r="A9" s="11"/>
      <c r="B9" s="12"/>
      <c r="C9" s="12"/>
      <c r="D9" s="12"/>
      <c r="E9" s="12"/>
      <c r="F9" s="12"/>
      <c r="G9" s="13" t="str">
        <f aca="false">IF($A9="","",IFERROR(F9/$D9,""))</f>
        <v/>
      </c>
      <c r="H9" s="12"/>
      <c r="I9" s="12"/>
      <c r="J9" s="14" t="str">
        <f aca="false">IF($A9="","",SUM(F9,I9))</f>
        <v/>
      </c>
      <c r="K9" s="12"/>
      <c r="L9" s="12"/>
      <c r="M9" s="13" t="str">
        <f aca="false">IF($A9="","",IFERROR(L9/$D9,""))</f>
        <v/>
      </c>
      <c r="N9" s="12"/>
      <c r="O9" s="12"/>
      <c r="P9" s="14" t="str">
        <f aca="false">IF($A9="","",SUM(L9,O9))</f>
        <v/>
      </c>
    </row>
    <row r="10" customFormat="false" ht="15" hidden="false" customHeight="false" outlineLevel="0" collapsed="false">
      <c r="A10" s="11"/>
      <c r="B10" s="12"/>
      <c r="C10" s="12"/>
      <c r="D10" s="12"/>
      <c r="E10" s="12"/>
      <c r="F10" s="12"/>
      <c r="G10" s="13" t="str">
        <f aca="false">IF($A10="","",IFERROR(F10/$D10,""))</f>
        <v/>
      </c>
      <c r="H10" s="12"/>
      <c r="I10" s="12"/>
      <c r="J10" s="14" t="str">
        <f aca="false">IF($A10="","",SUM(F10,I10))</f>
        <v/>
      </c>
      <c r="K10" s="12"/>
      <c r="L10" s="12"/>
      <c r="M10" s="13" t="str">
        <f aca="false">IF($A10="","",IFERROR(L10/$D10,""))</f>
        <v/>
      </c>
      <c r="N10" s="12"/>
      <c r="O10" s="12"/>
      <c r="P10" s="14" t="str">
        <f aca="false">IF($A10="","",SUM(L10,O10))</f>
        <v/>
      </c>
    </row>
    <row r="11" customFormat="false" ht="15" hidden="false" customHeight="false" outlineLevel="0" collapsed="false">
      <c r="A11" s="11"/>
      <c r="B11" s="12"/>
      <c r="C11" s="12"/>
      <c r="D11" s="12"/>
      <c r="E11" s="12"/>
      <c r="F11" s="12"/>
      <c r="G11" s="13" t="str">
        <f aca="false">IF($A11="","",IFERROR(F11/$D11,""))</f>
        <v/>
      </c>
      <c r="H11" s="12"/>
      <c r="I11" s="12"/>
      <c r="J11" s="14" t="str">
        <f aca="false">IF($A11="","",SUM(F11,I11))</f>
        <v/>
      </c>
      <c r="K11" s="12"/>
      <c r="L11" s="12"/>
      <c r="M11" s="13" t="str">
        <f aca="false">IF($A11="","",IFERROR(L11/$D11,""))</f>
        <v/>
      </c>
      <c r="N11" s="12"/>
      <c r="O11" s="12"/>
      <c r="P11" s="14" t="str">
        <f aca="false">IF($A11="","",SUM(L11,O11))</f>
        <v/>
      </c>
    </row>
    <row r="12" customFormat="false" ht="15" hidden="false" customHeight="false" outlineLevel="0" collapsed="false">
      <c r="A12" s="11"/>
      <c r="B12" s="12"/>
      <c r="C12" s="12"/>
      <c r="D12" s="12"/>
      <c r="E12" s="12"/>
      <c r="F12" s="12"/>
      <c r="G12" s="13" t="str">
        <f aca="false">IF($A12="","",IFERROR(F12/$D12,""))</f>
        <v/>
      </c>
      <c r="H12" s="12"/>
      <c r="I12" s="12"/>
      <c r="J12" s="14" t="str">
        <f aca="false">IF($A12="","",SUM(F12,I12))</f>
        <v/>
      </c>
      <c r="K12" s="12"/>
      <c r="L12" s="12"/>
      <c r="M12" s="13" t="str">
        <f aca="false">IF($A12="","",IFERROR(L12/$D12,""))</f>
        <v/>
      </c>
      <c r="N12" s="12"/>
      <c r="O12" s="12"/>
      <c r="P12" s="14" t="str">
        <f aca="false">IF($A12="","",SUM(L12,O12))</f>
        <v/>
      </c>
    </row>
    <row r="13" customFormat="false" ht="15" hidden="false" customHeight="false" outlineLevel="0" collapsed="false">
      <c r="A13" s="15" t="s">
        <v>73</v>
      </c>
      <c r="B13" s="16"/>
      <c r="C13" s="16" t="n">
        <f aca="false">SUMIFS(C$3:C$12,$B$3:$B$12,"ERPI")</f>
        <v>0</v>
      </c>
      <c r="D13" s="16" t="n">
        <f aca="false">SUMIFS(D$3:D$12,$B$3:$B$12,"ERPI")</f>
        <v>0</v>
      </c>
      <c r="E13" s="16" t="n">
        <f aca="false">SUMIFS(E$3:E$12,$B$3:$B$12,"ERPI")</f>
        <v>0</v>
      </c>
      <c r="F13" s="16" t="n">
        <f aca="false">SUMIFS(F$3:F$12,$B$3:$B$12,"ERPI")</f>
        <v>0</v>
      </c>
      <c r="G13" s="17" t="str">
        <f aca="false">IFERROR(F13/D13,"")</f>
        <v/>
      </c>
      <c r="H13" s="16" t="n">
        <f aca="false">SUMIFS(H$3:H$12,$B$3:$B$12,"ERPI")</f>
        <v>0</v>
      </c>
      <c r="I13" s="16" t="n">
        <f aca="false">SUMIFS(I$3:I$12,$B$3:$B$12,"ERPI")</f>
        <v>0</v>
      </c>
      <c r="J13" s="16" t="n">
        <f aca="false">SUM(F13,I13)</f>
        <v>0</v>
      </c>
      <c r="K13" s="16" t="n">
        <f aca="false">SUMIFS(K$3:K$12,$B$3:$B$12,"ERPI")</f>
        <v>0</v>
      </c>
      <c r="L13" s="16" t="n">
        <f aca="false">SUMIFS(L$3:L$12,$B$3:$B$12,"ERPI")</f>
        <v>0</v>
      </c>
      <c r="M13" s="17" t="str">
        <f aca="false">IFERROR(L13/D13,"")</f>
        <v/>
      </c>
      <c r="N13" s="16" t="n">
        <f aca="false">SUMIFS(N$3:N$12,$B$3:$B$12,"ERPI")</f>
        <v>0</v>
      </c>
      <c r="O13" s="16" t="n">
        <f aca="false">SUMIFS(O$3:O$12,$B$3:$B$12,"ERPI")</f>
        <v>0</v>
      </c>
      <c r="P13" s="16" t="n">
        <f aca="false">SUM(L13,O13)</f>
        <v>0</v>
      </c>
    </row>
    <row r="14" customFormat="false" ht="15" hidden="false" customHeight="false" outlineLevel="0" collapsed="false">
      <c r="A14" s="18" t="s">
        <v>74</v>
      </c>
      <c r="B14" s="19"/>
      <c r="C14" s="19" t="n">
        <f aca="false">C15-C13</f>
        <v>0</v>
      </c>
      <c r="D14" s="19" t="n">
        <f aca="false">D15-D13</f>
        <v>0</v>
      </c>
      <c r="E14" s="19" t="n">
        <f aca="false">E15-E13</f>
        <v>0</v>
      </c>
      <c r="F14" s="19" t="n">
        <f aca="false">F15-F13</f>
        <v>0</v>
      </c>
      <c r="G14" s="20" t="str">
        <f aca="false">IFERROR(F14/D14,"")</f>
        <v/>
      </c>
      <c r="H14" s="19" t="n">
        <f aca="false">H15-H13</f>
        <v>0</v>
      </c>
      <c r="I14" s="19" t="n">
        <f aca="false">I15-I13</f>
        <v>0</v>
      </c>
      <c r="J14" s="19" t="n">
        <f aca="false">SUM(F14,I14)</f>
        <v>0</v>
      </c>
      <c r="K14" s="19" t="n">
        <f aca="false">K15-K13</f>
        <v>0</v>
      </c>
      <c r="L14" s="19" t="n">
        <f aca="false">L15-L13</f>
        <v>0</v>
      </c>
      <c r="M14" s="20" t="str">
        <f aca="false">IFERROR(L14/D14,"")</f>
        <v/>
      </c>
      <c r="N14" s="19" t="n">
        <f aca="false">N15-N13</f>
        <v>0</v>
      </c>
      <c r="O14" s="19" t="n">
        <f aca="false">O15-O13</f>
        <v>0</v>
      </c>
      <c r="P14" s="19" t="n">
        <f aca="false">SUM(L14,O14)</f>
        <v>0</v>
      </c>
    </row>
    <row r="15" customFormat="false" ht="15" hidden="false" customHeight="false" outlineLevel="0" collapsed="false">
      <c r="A15" s="21" t="s">
        <v>75</v>
      </c>
      <c r="B15" s="22"/>
      <c r="C15" s="22" t="n">
        <f aca="false">SUM(C$3:C$12)</f>
        <v>0</v>
      </c>
      <c r="D15" s="22" t="n">
        <f aca="false">SUM(D$3:D$12)</f>
        <v>0</v>
      </c>
      <c r="E15" s="22" t="n">
        <f aca="false">SUM(E$3:E$12)</f>
        <v>0</v>
      </c>
      <c r="F15" s="22" t="n">
        <f aca="false">SUM(F$3:F$12)</f>
        <v>0</v>
      </c>
      <c r="G15" s="23" t="str">
        <f aca="false">IFERROR(F15/D15,"")</f>
        <v/>
      </c>
      <c r="H15" s="22" t="n">
        <f aca="false">SUM(H$3:H$12)</f>
        <v>0</v>
      </c>
      <c r="I15" s="22" t="n">
        <f aca="false">SUM(I$3:I$12)</f>
        <v>0</v>
      </c>
      <c r="J15" s="22" t="n">
        <f aca="false">SUM(F15,I15)</f>
        <v>0</v>
      </c>
      <c r="K15" s="22" t="n">
        <f aca="false">SUM(K$3:K$12)</f>
        <v>0</v>
      </c>
      <c r="L15" s="22" t="n">
        <f aca="false">SUM(L$3:L$12)</f>
        <v>0</v>
      </c>
      <c r="M15" s="23" t="str">
        <f aca="false">IFERROR(L15/D15,"")</f>
        <v/>
      </c>
      <c r="N15" s="22" t="n">
        <f aca="false">SUM(N$3:N$12)</f>
        <v>0</v>
      </c>
      <c r="O15" s="22" t="n">
        <f aca="false">SUM(O$3:O$12)</f>
        <v>0</v>
      </c>
      <c r="P15" s="22" t="n">
        <f aca="false">SUM(L15,O15)</f>
        <v>0</v>
      </c>
    </row>
  </sheetData>
  <sheetProtection sheet="true" formatColumns="false" formatRows="false"/>
  <mergeCells count="2">
    <mergeCell ref="E1:J1"/>
    <mergeCell ref="K1:P1"/>
  </mergeCells>
  <conditionalFormatting sqref="B3:B12">
    <cfRule type="expression" priority="2" aboveAverage="0" equalAverage="0" bottom="0" percent="0" rank="0" text="" dxfId="0">
      <formula>AND($A3&lt;&gt;"",$B3="")</formula>
    </cfRule>
  </conditionalFormatting>
  <conditionalFormatting sqref="E3:E12">
    <cfRule type="expression" priority="3" aboveAverage="0" equalAverage="0" bottom="0" percent="0" rank="0" text="" dxfId="0">
      <formula>AND(E3&lt;&gt;"",E3&gt;$D3)</formula>
    </cfRule>
  </conditionalFormatting>
  <conditionalFormatting sqref="F3:F12">
    <cfRule type="expression" priority="4" aboveAverage="0" equalAverage="0" bottom="0" percent="0" rank="0" text="" dxfId="0">
      <formula>AND(F3&lt;&gt;"",F3&gt;$D3)</formula>
    </cfRule>
  </conditionalFormatting>
  <conditionalFormatting sqref="H3:H12">
    <cfRule type="expression" priority="5" aboveAverage="0" equalAverage="0" bottom="0" percent="0" rank="0" text="" dxfId="0">
      <formula>AND(H3&lt;&gt;"",H3&gt;$C3)</formula>
    </cfRule>
  </conditionalFormatting>
  <conditionalFormatting sqref="I3:I12">
    <cfRule type="expression" priority="6" aboveAverage="0" equalAverage="0" bottom="0" percent="0" rank="0" text="" dxfId="0">
      <formula>AND(I3&lt;&gt;"",I3&gt;$C3)</formula>
    </cfRule>
  </conditionalFormatting>
  <conditionalFormatting sqref="K3:K12">
    <cfRule type="expression" priority="7" aboveAverage="0" equalAverage="0" bottom="0" percent="0" rank="0" text="" dxfId="0">
      <formula>AND(K3&lt;&gt;"",K3&gt;$D3)</formula>
    </cfRule>
  </conditionalFormatting>
  <conditionalFormatting sqref="L3:L12">
    <cfRule type="expression" priority="8" aboveAverage="0" equalAverage="0" bottom="0" percent="0" rank="0" text="" dxfId="0">
      <formula>AND(L3&lt;&gt;"",L3&gt;$D3)</formula>
    </cfRule>
  </conditionalFormatting>
  <conditionalFormatting sqref="N3:N12">
    <cfRule type="expression" priority="9" aboveAverage="0" equalAverage="0" bottom="0" percent="0" rank="0" text="" dxfId="0">
      <formula>AND(N3&lt;&gt;"",N3&gt;$C3)</formula>
    </cfRule>
  </conditionalFormatting>
  <conditionalFormatting sqref="O3:O12">
    <cfRule type="expression" priority="10" aboveAverage="0" equalAverage="0" bottom="0" percent="0" rank="0" text="" dxfId="0">
      <formula>AND(O3&lt;&gt;"",O3&gt;$C3)</formula>
    </cfRule>
  </conditionalFormatting>
  <dataValidations count="1">
    <dataValidation allowBlank="true" error="Escolher: ERPI, CD, Lar Residencial ou UCCI" errorStyle="stop" errorTitle="Tipologia inválida" operator="between" showDropDown="false" showErrorMessage="true" showInputMessage="false" sqref="B3:B12" type="list">
      <formula1>"ERPI,CD,Lar Residencial,UCCI"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5"/>
    <col collapsed="false" customWidth="true" hidden="false" outlineLevel="0" max="16" min="3" style="0" width="13"/>
  </cols>
  <sheetData>
    <row r="1" customFormat="false" ht="15" hidden="false" customHeight="true" outlineLevel="0" collapsed="false">
      <c r="E1" s="7" t="s">
        <v>24</v>
      </c>
      <c r="F1" s="7"/>
      <c r="G1" s="7"/>
      <c r="H1" s="7"/>
      <c r="I1" s="7"/>
      <c r="J1" s="7"/>
      <c r="K1" s="8" t="s">
        <v>25</v>
      </c>
      <c r="L1" s="8"/>
      <c r="M1" s="8"/>
      <c r="N1" s="8"/>
      <c r="O1" s="8"/>
      <c r="P1" s="8"/>
    </row>
    <row r="2" customFormat="false" ht="35.05" hidden="false" customHeight="false" outlineLevel="0" collapsed="false">
      <c r="A2" s="4" t="s">
        <v>26</v>
      </c>
      <c r="B2" s="4" t="s">
        <v>17</v>
      </c>
      <c r="C2" s="4" t="s">
        <v>27</v>
      </c>
      <c r="D2" s="4" t="s">
        <v>19</v>
      </c>
      <c r="E2" s="9" t="s">
        <v>28</v>
      </c>
      <c r="F2" s="9" t="s">
        <v>29</v>
      </c>
      <c r="G2" s="9" t="s">
        <v>30</v>
      </c>
      <c r="H2" s="9" t="s">
        <v>31</v>
      </c>
      <c r="I2" s="9" t="s">
        <v>32</v>
      </c>
      <c r="J2" s="9" t="s">
        <v>33</v>
      </c>
      <c r="K2" s="10" t="s">
        <v>28</v>
      </c>
      <c r="L2" s="10" t="s">
        <v>29</v>
      </c>
      <c r="M2" s="10" t="s">
        <v>30</v>
      </c>
      <c r="N2" s="10" t="s">
        <v>31</v>
      </c>
      <c r="O2" s="10" t="s">
        <v>32</v>
      </c>
      <c r="P2" s="10" t="s">
        <v>33</v>
      </c>
    </row>
    <row r="3" customFormat="false" ht="15" hidden="false" customHeight="false" outlineLevel="0" collapsed="false">
      <c r="A3" s="11" t="s">
        <v>182</v>
      </c>
      <c r="B3" s="12" t="s">
        <v>23</v>
      </c>
      <c r="C3" s="12"/>
      <c r="D3" s="12"/>
      <c r="E3" s="12"/>
      <c r="F3" s="12"/>
      <c r="G3" s="13" t="str">
        <f aca="false">IF($A3="","",IFERROR(F3/$D3,""))</f>
        <v/>
      </c>
      <c r="H3" s="12"/>
      <c r="I3" s="12"/>
      <c r="J3" s="14" t="n">
        <f aca="false">IF($A3="","",SUM(F3,I3))</f>
        <v>0</v>
      </c>
      <c r="K3" s="12"/>
      <c r="L3" s="12"/>
      <c r="M3" s="13" t="str">
        <f aca="false">IF($A3="","",IFERROR(L3/$D3,""))</f>
        <v/>
      </c>
      <c r="N3" s="12"/>
      <c r="O3" s="12"/>
      <c r="P3" s="14" t="n">
        <f aca="false">IF($A3="","",SUM(L3,O3))</f>
        <v>0</v>
      </c>
    </row>
    <row r="4" customFormat="false" ht="15" hidden="false" customHeight="false" outlineLevel="0" collapsed="false">
      <c r="A4" s="11" t="s">
        <v>183</v>
      </c>
      <c r="B4" s="12" t="s">
        <v>23</v>
      </c>
      <c r="C4" s="12"/>
      <c r="D4" s="12"/>
      <c r="E4" s="12"/>
      <c r="F4" s="12"/>
      <c r="G4" s="13" t="str">
        <f aca="false">IF($A4="","",IFERROR(F4/$D4,""))</f>
        <v/>
      </c>
      <c r="H4" s="12"/>
      <c r="I4" s="12"/>
      <c r="J4" s="14" t="n">
        <f aca="false">IF($A4="","",SUM(F4,I4))</f>
        <v>0</v>
      </c>
      <c r="K4" s="12"/>
      <c r="L4" s="12"/>
      <c r="M4" s="13" t="str">
        <f aca="false">IF($A4="","",IFERROR(L4/$D4,""))</f>
        <v/>
      </c>
      <c r="N4" s="12"/>
      <c r="O4" s="12"/>
      <c r="P4" s="14" t="n">
        <f aca="false">IF($A4="","",SUM(L4,O4))</f>
        <v>0</v>
      </c>
    </row>
    <row r="5" customFormat="false" ht="15" hidden="false" customHeight="false" outlineLevel="0" collapsed="false">
      <c r="A5" s="11" t="s">
        <v>184</v>
      </c>
      <c r="B5" s="12" t="s">
        <v>23</v>
      </c>
      <c r="C5" s="12"/>
      <c r="D5" s="12"/>
      <c r="E5" s="12"/>
      <c r="F5" s="12"/>
      <c r="G5" s="13" t="str">
        <f aca="false">IF($A5="","",IFERROR(F5/$D5,""))</f>
        <v/>
      </c>
      <c r="H5" s="12"/>
      <c r="I5" s="12"/>
      <c r="J5" s="14" t="n">
        <f aca="false">IF($A5="","",SUM(F5,I5))</f>
        <v>0</v>
      </c>
      <c r="K5" s="12"/>
      <c r="L5" s="12"/>
      <c r="M5" s="13" t="str">
        <f aca="false">IF($A5="","",IFERROR(L5/$D5,""))</f>
        <v/>
      </c>
      <c r="N5" s="12"/>
      <c r="O5" s="12"/>
      <c r="P5" s="14" t="n">
        <f aca="false">IF($A5="","",SUM(L5,O5))</f>
        <v>0</v>
      </c>
    </row>
    <row r="6" customFormat="false" ht="15" hidden="false" customHeight="false" outlineLevel="0" collapsed="false">
      <c r="A6" s="11" t="s">
        <v>185</v>
      </c>
      <c r="B6" s="12" t="s">
        <v>23</v>
      </c>
      <c r="C6" s="12"/>
      <c r="D6" s="12"/>
      <c r="E6" s="12"/>
      <c r="F6" s="12"/>
      <c r="G6" s="13" t="str">
        <f aca="false">IF($A6="","",IFERROR(F6/$D6,""))</f>
        <v/>
      </c>
      <c r="H6" s="12"/>
      <c r="I6" s="12"/>
      <c r="J6" s="14" t="n">
        <f aca="false">IF($A6="","",SUM(F6,I6))</f>
        <v>0</v>
      </c>
      <c r="K6" s="12"/>
      <c r="L6" s="12"/>
      <c r="M6" s="13" t="str">
        <f aca="false">IF($A6="","",IFERROR(L6/$D6,""))</f>
        <v/>
      </c>
      <c r="N6" s="12"/>
      <c r="O6" s="12"/>
      <c r="P6" s="14" t="n">
        <f aca="false">IF($A6="","",SUM(L6,O6))</f>
        <v>0</v>
      </c>
    </row>
    <row r="7" customFormat="false" ht="15" hidden="false" customHeight="false" outlineLevel="0" collapsed="false">
      <c r="A7" s="11" t="s">
        <v>186</v>
      </c>
      <c r="B7" s="12" t="s">
        <v>23</v>
      </c>
      <c r="C7" s="12"/>
      <c r="D7" s="12"/>
      <c r="E7" s="12"/>
      <c r="F7" s="12"/>
      <c r="G7" s="13" t="str">
        <f aca="false">IF($A7="","",IFERROR(F7/$D7,""))</f>
        <v/>
      </c>
      <c r="H7" s="12"/>
      <c r="I7" s="12"/>
      <c r="J7" s="14" t="n">
        <f aca="false">IF($A7="","",SUM(F7,I7))</f>
        <v>0</v>
      </c>
      <c r="K7" s="12"/>
      <c r="L7" s="12"/>
      <c r="M7" s="13" t="str">
        <f aca="false">IF($A7="","",IFERROR(L7/$D7,""))</f>
        <v/>
      </c>
      <c r="N7" s="12"/>
      <c r="O7" s="12"/>
      <c r="P7" s="14" t="n">
        <f aca="false">IF($A7="","",SUM(L7,O7))</f>
        <v>0</v>
      </c>
    </row>
    <row r="8" customFormat="false" ht="15" hidden="false" customHeight="false" outlineLevel="0" collapsed="false">
      <c r="A8" s="11" t="s">
        <v>187</v>
      </c>
      <c r="B8" s="12" t="s">
        <v>23</v>
      </c>
      <c r="C8" s="12"/>
      <c r="D8" s="12"/>
      <c r="E8" s="12"/>
      <c r="F8" s="12"/>
      <c r="G8" s="13" t="str">
        <f aca="false">IF($A8="","",IFERROR(F8/$D8,""))</f>
        <v/>
      </c>
      <c r="H8" s="12"/>
      <c r="I8" s="12"/>
      <c r="J8" s="14" t="n">
        <f aca="false">IF($A8="","",SUM(F8,I8))</f>
        <v>0</v>
      </c>
      <c r="K8" s="12"/>
      <c r="L8" s="12"/>
      <c r="M8" s="13" t="str">
        <f aca="false">IF($A8="","",IFERROR(L8/$D8,""))</f>
        <v/>
      </c>
      <c r="N8" s="12"/>
      <c r="O8" s="12"/>
      <c r="P8" s="14" t="n">
        <f aca="false">IF($A8="","",SUM(L8,O8))</f>
        <v>0</v>
      </c>
    </row>
    <row r="9" customFormat="false" ht="15" hidden="false" customHeight="false" outlineLevel="0" collapsed="false">
      <c r="A9" s="11" t="s">
        <v>188</v>
      </c>
      <c r="B9" s="12" t="s">
        <v>23</v>
      </c>
      <c r="C9" s="12"/>
      <c r="D9" s="12"/>
      <c r="E9" s="12"/>
      <c r="F9" s="12"/>
      <c r="G9" s="13" t="str">
        <f aca="false">IF($A9="","",IFERROR(F9/$D9,""))</f>
        <v/>
      </c>
      <c r="H9" s="12"/>
      <c r="I9" s="12"/>
      <c r="J9" s="14" t="n">
        <f aca="false">IF($A9="","",SUM(F9,I9))</f>
        <v>0</v>
      </c>
      <c r="K9" s="12"/>
      <c r="L9" s="12"/>
      <c r="M9" s="13" t="str">
        <f aca="false">IF($A9="","",IFERROR(L9/$D9,""))</f>
        <v/>
      </c>
      <c r="N9" s="12"/>
      <c r="O9" s="12"/>
      <c r="P9" s="14" t="n">
        <f aca="false">IF($A9="","",SUM(L9,O9))</f>
        <v>0</v>
      </c>
    </row>
    <row r="10" customFormat="false" ht="15" hidden="false" customHeight="false" outlineLevel="0" collapsed="false">
      <c r="A10" s="11" t="s">
        <v>189</v>
      </c>
      <c r="B10" s="12" t="s">
        <v>23</v>
      </c>
      <c r="C10" s="12"/>
      <c r="D10" s="12"/>
      <c r="E10" s="12"/>
      <c r="F10" s="12"/>
      <c r="G10" s="13" t="str">
        <f aca="false">IF($A10="","",IFERROR(F10/$D10,""))</f>
        <v/>
      </c>
      <c r="H10" s="12"/>
      <c r="I10" s="12"/>
      <c r="J10" s="14" t="n">
        <f aca="false">IF($A10="","",SUM(F10,I10))</f>
        <v>0</v>
      </c>
      <c r="K10" s="12"/>
      <c r="L10" s="12"/>
      <c r="M10" s="13" t="str">
        <f aca="false">IF($A10="","",IFERROR(L10/$D10,""))</f>
        <v/>
      </c>
      <c r="N10" s="12"/>
      <c r="O10" s="12"/>
      <c r="P10" s="14" t="n">
        <f aca="false">IF($A10="","",SUM(L10,O10))</f>
        <v>0</v>
      </c>
    </row>
    <row r="11" customFormat="false" ht="15" hidden="false" customHeight="false" outlineLevel="0" collapsed="false">
      <c r="A11" s="11" t="s">
        <v>190</v>
      </c>
      <c r="B11" s="12" t="s">
        <v>51</v>
      </c>
      <c r="C11" s="12"/>
      <c r="D11" s="12"/>
      <c r="E11" s="12"/>
      <c r="F11" s="12"/>
      <c r="G11" s="13" t="str">
        <f aca="false">IF($A11="","",IFERROR(F11/$D11,""))</f>
        <v/>
      </c>
      <c r="H11" s="12"/>
      <c r="I11" s="12"/>
      <c r="J11" s="14" t="n">
        <f aca="false">IF($A11="","",SUM(F11,I11))</f>
        <v>0</v>
      </c>
      <c r="K11" s="12"/>
      <c r="L11" s="12"/>
      <c r="M11" s="13" t="str">
        <f aca="false">IF($A11="","",IFERROR(L11/$D11,""))</f>
        <v/>
      </c>
      <c r="N11" s="12"/>
      <c r="O11" s="12"/>
      <c r="P11" s="14" t="n">
        <f aca="false">IF($A11="","",SUM(L11,O11))</f>
        <v>0</v>
      </c>
    </row>
    <row r="12" customFormat="false" ht="15" hidden="false" customHeight="false" outlineLevel="0" collapsed="false">
      <c r="A12" s="11" t="s">
        <v>191</v>
      </c>
      <c r="B12" s="12" t="s">
        <v>51</v>
      </c>
      <c r="C12" s="12"/>
      <c r="D12" s="12"/>
      <c r="E12" s="12"/>
      <c r="F12" s="12"/>
      <c r="G12" s="13" t="str">
        <f aca="false">IF($A12="","",IFERROR(F12/$D12,""))</f>
        <v/>
      </c>
      <c r="H12" s="12"/>
      <c r="I12" s="12"/>
      <c r="J12" s="14" t="n">
        <f aca="false">IF($A12="","",SUM(F12,I12))</f>
        <v>0</v>
      </c>
      <c r="K12" s="12"/>
      <c r="L12" s="12"/>
      <c r="M12" s="13" t="str">
        <f aca="false">IF($A12="","",IFERROR(L12/$D12,""))</f>
        <v/>
      </c>
      <c r="N12" s="12"/>
      <c r="O12" s="12"/>
      <c r="P12" s="14" t="n">
        <f aca="false">IF($A12="","",SUM(L12,O12))</f>
        <v>0</v>
      </c>
    </row>
    <row r="13" customFormat="false" ht="15" hidden="false" customHeight="false" outlineLevel="0" collapsed="false">
      <c r="A13" s="11" t="s">
        <v>192</v>
      </c>
      <c r="B13" s="12" t="s">
        <v>51</v>
      </c>
      <c r="C13" s="12"/>
      <c r="D13" s="12"/>
      <c r="E13" s="12"/>
      <c r="F13" s="12"/>
      <c r="G13" s="13" t="str">
        <f aca="false">IF($A13="","",IFERROR(F13/$D13,""))</f>
        <v/>
      </c>
      <c r="H13" s="12"/>
      <c r="I13" s="12"/>
      <c r="J13" s="14" t="n">
        <f aca="false">IF($A13="","",SUM(F13,I13))</f>
        <v>0</v>
      </c>
      <c r="K13" s="12"/>
      <c r="L13" s="12"/>
      <c r="M13" s="13" t="str">
        <f aca="false">IF($A13="","",IFERROR(L13/$D13,""))</f>
        <v/>
      </c>
      <c r="N13" s="12"/>
      <c r="O13" s="12"/>
      <c r="P13" s="14" t="n">
        <f aca="false">IF($A13="","",SUM(L13,O13))</f>
        <v>0</v>
      </c>
    </row>
    <row r="14" customFormat="false" ht="15" hidden="false" customHeight="false" outlineLevel="0" collapsed="false">
      <c r="A14" s="11" t="s">
        <v>193</v>
      </c>
      <c r="B14" s="12" t="s">
        <v>51</v>
      </c>
      <c r="C14" s="12"/>
      <c r="D14" s="12"/>
      <c r="E14" s="12"/>
      <c r="F14" s="12"/>
      <c r="G14" s="13" t="str">
        <f aca="false">IF($A14="","",IFERROR(F14/$D14,""))</f>
        <v/>
      </c>
      <c r="H14" s="12"/>
      <c r="I14" s="12"/>
      <c r="J14" s="14" t="n">
        <f aca="false">IF($A14="","",SUM(F14,I14))</f>
        <v>0</v>
      </c>
      <c r="K14" s="12"/>
      <c r="L14" s="12"/>
      <c r="M14" s="13" t="str">
        <f aca="false">IF($A14="","",IFERROR(L14/$D14,""))</f>
        <v/>
      </c>
      <c r="N14" s="12"/>
      <c r="O14" s="12"/>
      <c r="P14" s="14" t="n">
        <f aca="false">IF($A14="","",SUM(L14,O14))</f>
        <v>0</v>
      </c>
    </row>
    <row r="15" customFormat="false" ht="15" hidden="false" customHeight="false" outlineLevel="0" collapsed="false">
      <c r="A15" s="11" t="s">
        <v>194</v>
      </c>
      <c r="B15" s="12" t="s">
        <v>51</v>
      </c>
      <c r="C15" s="12"/>
      <c r="D15" s="12"/>
      <c r="E15" s="12"/>
      <c r="F15" s="12"/>
      <c r="G15" s="13" t="str">
        <f aca="false">IF($A15="","",IFERROR(F15/$D15,""))</f>
        <v/>
      </c>
      <c r="H15" s="12"/>
      <c r="I15" s="12"/>
      <c r="J15" s="14" t="n">
        <f aca="false">IF($A15="","",SUM(F15,I15))</f>
        <v>0</v>
      </c>
      <c r="K15" s="12"/>
      <c r="L15" s="12"/>
      <c r="M15" s="13" t="str">
        <f aca="false">IF($A15="","",IFERROR(L15/$D15,""))</f>
        <v/>
      </c>
      <c r="N15" s="12"/>
      <c r="O15" s="12"/>
      <c r="P15" s="14" t="n">
        <f aca="false">IF($A15="","",SUM(L15,O15))</f>
        <v>0</v>
      </c>
    </row>
    <row r="16" customFormat="false" ht="15" hidden="false" customHeight="false" outlineLevel="0" collapsed="false">
      <c r="A16" s="11" t="s">
        <v>195</v>
      </c>
      <c r="B16" s="12" t="s">
        <v>51</v>
      </c>
      <c r="C16" s="12"/>
      <c r="D16" s="12"/>
      <c r="E16" s="12"/>
      <c r="F16" s="12"/>
      <c r="G16" s="13" t="str">
        <f aca="false">IF($A16="","",IFERROR(F16/$D16,""))</f>
        <v/>
      </c>
      <c r="H16" s="12"/>
      <c r="I16" s="12"/>
      <c r="J16" s="14" t="n">
        <f aca="false">IF($A16="","",SUM(F16,I16))</f>
        <v>0</v>
      </c>
      <c r="K16" s="12"/>
      <c r="L16" s="12"/>
      <c r="M16" s="13" t="str">
        <f aca="false">IF($A16="","",IFERROR(L16/$D16,""))</f>
        <v/>
      </c>
      <c r="N16" s="12"/>
      <c r="O16" s="12"/>
      <c r="P16" s="14" t="n">
        <f aca="false">IF($A16="","",SUM(L16,O16))</f>
        <v>0</v>
      </c>
    </row>
    <row r="17" customFormat="false" ht="15" hidden="false" customHeight="false" outlineLevel="0" collapsed="false">
      <c r="A17" s="11" t="s">
        <v>196</v>
      </c>
      <c r="B17" s="12" t="s">
        <v>51</v>
      </c>
      <c r="C17" s="12"/>
      <c r="D17" s="12"/>
      <c r="E17" s="12"/>
      <c r="F17" s="12"/>
      <c r="G17" s="13" t="str">
        <f aca="false">IF($A17="","",IFERROR(F17/$D17,""))</f>
        <v/>
      </c>
      <c r="H17" s="12"/>
      <c r="I17" s="12"/>
      <c r="J17" s="14" t="n">
        <f aca="false">IF($A17="","",SUM(F17,I17))</f>
        <v>0</v>
      </c>
      <c r="K17" s="12"/>
      <c r="L17" s="12"/>
      <c r="M17" s="13" t="str">
        <f aca="false">IF($A17="","",IFERROR(L17/$D17,""))</f>
        <v/>
      </c>
      <c r="N17" s="12"/>
      <c r="O17" s="12"/>
      <c r="P17" s="14" t="n">
        <f aca="false">IF($A17="","",SUM(L17,O17))</f>
        <v>0</v>
      </c>
    </row>
    <row r="18" customFormat="false" ht="15" hidden="false" customHeight="false" outlineLevel="0" collapsed="false">
      <c r="A18" s="11" t="s">
        <v>197</v>
      </c>
      <c r="B18" s="12" t="s">
        <v>69</v>
      </c>
      <c r="C18" s="12"/>
      <c r="D18" s="12"/>
      <c r="E18" s="12"/>
      <c r="F18" s="12"/>
      <c r="G18" s="13" t="str">
        <f aca="false">IF($A18="","",IFERROR(F18/$D18,""))</f>
        <v/>
      </c>
      <c r="H18" s="12"/>
      <c r="I18" s="12"/>
      <c r="J18" s="14" t="n">
        <f aca="false">IF($A18="","",SUM(F18,I18))</f>
        <v>0</v>
      </c>
      <c r="K18" s="12"/>
      <c r="L18" s="12"/>
      <c r="M18" s="13" t="str">
        <f aca="false">IF($A18="","",IFERROR(L18/$D18,""))</f>
        <v/>
      </c>
      <c r="N18" s="12"/>
      <c r="O18" s="12"/>
      <c r="P18" s="14" t="n">
        <f aca="false">IF($A18="","",SUM(L18,O18))</f>
        <v>0</v>
      </c>
    </row>
    <row r="19" customFormat="false" ht="15" hidden="false" customHeight="false" outlineLevel="0" collapsed="false">
      <c r="A19" s="11" t="s">
        <v>198</v>
      </c>
      <c r="B19" s="12" t="s">
        <v>69</v>
      </c>
      <c r="C19" s="12"/>
      <c r="D19" s="12"/>
      <c r="E19" s="12"/>
      <c r="F19" s="12"/>
      <c r="G19" s="13" t="str">
        <f aca="false">IF($A19="","",IFERROR(F19/$D19,""))</f>
        <v/>
      </c>
      <c r="H19" s="12"/>
      <c r="I19" s="12"/>
      <c r="J19" s="14" t="n">
        <f aca="false">IF($A19="","",SUM(F19,I19))</f>
        <v>0</v>
      </c>
      <c r="K19" s="12"/>
      <c r="L19" s="12"/>
      <c r="M19" s="13" t="str">
        <f aca="false">IF($A19="","",IFERROR(L19/$D19,""))</f>
        <v/>
      </c>
      <c r="N19" s="12"/>
      <c r="O19" s="12"/>
      <c r="P19" s="14" t="n">
        <f aca="false">IF($A19="","",SUM(L19,O19))</f>
        <v>0</v>
      </c>
    </row>
    <row r="20" customFormat="false" ht="15" hidden="false" customHeight="false" outlineLevel="0" collapsed="false">
      <c r="A20" s="11" t="s">
        <v>199</v>
      </c>
      <c r="B20" s="12" t="s">
        <v>72</v>
      </c>
      <c r="C20" s="12"/>
      <c r="D20" s="12"/>
      <c r="E20" s="12"/>
      <c r="F20" s="12"/>
      <c r="G20" s="13" t="str">
        <f aca="false">IF($A20="","",IFERROR(F20/$D20,""))</f>
        <v/>
      </c>
      <c r="H20" s="12"/>
      <c r="I20" s="12"/>
      <c r="J20" s="14" t="n">
        <f aca="false">IF($A20="","",SUM(F20,I20))</f>
        <v>0</v>
      </c>
      <c r="K20" s="12"/>
      <c r="L20" s="12"/>
      <c r="M20" s="13" t="str">
        <f aca="false">IF($A20="","",IFERROR(L20/$D20,""))</f>
        <v/>
      </c>
      <c r="N20" s="12"/>
      <c r="O20" s="12"/>
      <c r="P20" s="14" t="n">
        <f aca="false">IF($A20="","",SUM(L20,O20))</f>
        <v>0</v>
      </c>
    </row>
    <row r="21" customFormat="false" ht="15" hidden="false" customHeight="false" outlineLevel="0" collapsed="false">
      <c r="A21" s="11"/>
      <c r="B21" s="12"/>
      <c r="C21" s="12"/>
      <c r="D21" s="12"/>
      <c r="E21" s="12"/>
      <c r="F21" s="12"/>
      <c r="G21" s="13" t="str">
        <f aca="false">IF($A21="","",IFERROR(F21/$D21,""))</f>
        <v/>
      </c>
      <c r="H21" s="12"/>
      <c r="I21" s="12"/>
      <c r="J21" s="14" t="str">
        <f aca="false">IF($A21="","",SUM(F21,I21))</f>
        <v/>
      </c>
      <c r="K21" s="12"/>
      <c r="L21" s="12"/>
      <c r="M21" s="13" t="str">
        <f aca="false">IF($A21="","",IFERROR(L21/$D21,""))</f>
        <v/>
      </c>
      <c r="N21" s="12"/>
      <c r="O21" s="12"/>
      <c r="P21" s="14" t="str">
        <f aca="false">IF($A21="","",SUM(L21,O21))</f>
        <v/>
      </c>
    </row>
    <row r="22" customFormat="false" ht="15" hidden="false" customHeight="false" outlineLevel="0" collapsed="false">
      <c r="A22" s="11"/>
      <c r="B22" s="12"/>
      <c r="C22" s="12"/>
      <c r="D22" s="12"/>
      <c r="E22" s="12"/>
      <c r="F22" s="12"/>
      <c r="G22" s="13" t="str">
        <f aca="false">IF($A22="","",IFERROR(F22/$D22,""))</f>
        <v/>
      </c>
      <c r="H22" s="12"/>
      <c r="I22" s="12"/>
      <c r="J22" s="14" t="str">
        <f aca="false">IF($A22="","",SUM(F22,I22))</f>
        <v/>
      </c>
      <c r="K22" s="12"/>
      <c r="L22" s="12"/>
      <c r="M22" s="13" t="str">
        <f aca="false">IF($A22="","",IFERROR(L22/$D22,""))</f>
        <v/>
      </c>
      <c r="N22" s="12"/>
      <c r="O22" s="12"/>
      <c r="P22" s="14" t="str">
        <f aca="false">IF($A22="","",SUM(L22,O22))</f>
        <v/>
      </c>
    </row>
    <row r="23" customFormat="false" ht="15" hidden="false" customHeight="false" outlineLevel="0" collapsed="false">
      <c r="A23" s="11"/>
      <c r="B23" s="12"/>
      <c r="C23" s="12"/>
      <c r="D23" s="12"/>
      <c r="E23" s="12"/>
      <c r="F23" s="12"/>
      <c r="G23" s="13" t="str">
        <f aca="false">IF($A23="","",IFERROR(F23/$D23,""))</f>
        <v/>
      </c>
      <c r="H23" s="12"/>
      <c r="I23" s="12"/>
      <c r="J23" s="14" t="str">
        <f aca="false">IF($A23="","",SUM(F23,I23))</f>
        <v/>
      </c>
      <c r="K23" s="12"/>
      <c r="L23" s="12"/>
      <c r="M23" s="13" t="str">
        <f aca="false">IF($A23="","",IFERROR(L23/$D23,""))</f>
        <v/>
      </c>
      <c r="N23" s="12"/>
      <c r="O23" s="12"/>
      <c r="P23" s="14" t="str">
        <f aca="false">IF($A23="","",SUM(L23,O23))</f>
        <v/>
      </c>
    </row>
    <row r="24" customFormat="false" ht="15" hidden="false" customHeight="false" outlineLevel="0" collapsed="false">
      <c r="A24" s="11"/>
      <c r="B24" s="12"/>
      <c r="C24" s="12"/>
      <c r="D24" s="12"/>
      <c r="E24" s="12"/>
      <c r="F24" s="12"/>
      <c r="G24" s="13" t="str">
        <f aca="false">IF($A24="","",IFERROR(F24/$D24,""))</f>
        <v/>
      </c>
      <c r="H24" s="12"/>
      <c r="I24" s="12"/>
      <c r="J24" s="14" t="str">
        <f aca="false">IF($A24="","",SUM(F24,I24))</f>
        <v/>
      </c>
      <c r="K24" s="12"/>
      <c r="L24" s="12"/>
      <c r="M24" s="13" t="str">
        <f aca="false">IF($A24="","",IFERROR(L24/$D24,""))</f>
        <v/>
      </c>
      <c r="N24" s="12"/>
      <c r="O24" s="12"/>
      <c r="P24" s="14" t="str">
        <f aca="false">IF($A24="","",SUM(L24,O24))</f>
        <v/>
      </c>
    </row>
    <row r="25" customFormat="false" ht="15" hidden="false" customHeight="false" outlineLevel="0" collapsed="false">
      <c r="A25" s="15" t="s">
        <v>73</v>
      </c>
      <c r="B25" s="16"/>
      <c r="C25" s="16" t="n">
        <f aca="false">SUMIFS(C$3:C$24,$B$3:$B$24,"ERPI")</f>
        <v>0</v>
      </c>
      <c r="D25" s="16" t="n">
        <f aca="false">SUMIFS(D$3:D$24,$B$3:$B$24,"ERPI")</f>
        <v>0</v>
      </c>
      <c r="E25" s="16" t="n">
        <f aca="false">SUMIFS(E$3:E$24,$B$3:$B$24,"ERPI")</f>
        <v>0</v>
      </c>
      <c r="F25" s="16" t="n">
        <f aca="false">SUMIFS(F$3:F$24,$B$3:$B$24,"ERPI")</f>
        <v>0</v>
      </c>
      <c r="G25" s="17" t="str">
        <f aca="false">IFERROR(F25/D25,"")</f>
        <v/>
      </c>
      <c r="H25" s="16" t="n">
        <f aca="false">SUMIFS(H$3:H$24,$B$3:$B$24,"ERPI")</f>
        <v>0</v>
      </c>
      <c r="I25" s="16" t="n">
        <f aca="false">SUMIFS(I$3:I$24,$B$3:$B$24,"ERPI")</f>
        <v>0</v>
      </c>
      <c r="J25" s="16" t="n">
        <f aca="false">SUM(F25,I25)</f>
        <v>0</v>
      </c>
      <c r="K25" s="16" t="n">
        <f aca="false">SUMIFS(K$3:K$24,$B$3:$B$24,"ERPI")</f>
        <v>0</v>
      </c>
      <c r="L25" s="16" t="n">
        <f aca="false">SUMIFS(L$3:L$24,$B$3:$B$24,"ERPI")</f>
        <v>0</v>
      </c>
      <c r="M25" s="17" t="str">
        <f aca="false">IFERROR(L25/D25,"")</f>
        <v/>
      </c>
      <c r="N25" s="16" t="n">
        <f aca="false">SUMIFS(N$3:N$24,$B$3:$B$24,"ERPI")</f>
        <v>0</v>
      </c>
      <c r="O25" s="16" t="n">
        <f aca="false">SUMIFS(O$3:O$24,$B$3:$B$24,"ERPI")</f>
        <v>0</v>
      </c>
      <c r="P25" s="16" t="n">
        <f aca="false">SUM(L25,O25)</f>
        <v>0</v>
      </c>
    </row>
    <row r="26" customFormat="false" ht="15" hidden="false" customHeight="false" outlineLevel="0" collapsed="false">
      <c r="A26" s="18" t="s">
        <v>74</v>
      </c>
      <c r="B26" s="19"/>
      <c r="C26" s="19" t="n">
        <f aca="false">C27-C25</f>
        <v>0</v>
      </c>
      <c r="D26" s="19" t="n">
        <f aca="false">D27-D25</f>
        <v>0</v>
      </c>
      <c r="E26" s="19" t="n">
        <f aca="false">E27-E25</f>
        <v>0</v>
      </c>
      <c r="F26" s="19" t="n">
        <f aca="false">F27-F25</f>
        <v>0</v>
      </c>
      <c r="G26" s="20" t="str">
        <f aca="false">IFERROR(F26/D26,"")</f>
        <v/>
      </c>
      <c r="H26" s="19" t="n">
        <f aca="false">H27-H25</f>
        <v>0</v>
      </c>
      <c r="I26" s="19" t="n">
        <f aca="false">I27-I25</f>
        <v>0</v>
      </c>
      <c r="J26" s="19" t="n">
        <f aca="false">SUM(F26,I26)</f>
        <v>0</v>
      </c>
      <c r="K26" s="19" t="n">
        <f aca="false">K27-K25</f>
        <v>0</v>
      </c>
      <c r="L26" s="19" t="n">
        <f aca="false">L27-L25</f>
        <v>0</v>
      </c>
      <c r="M26" s="20" t="str">
        <f aca="false">IFERROR(L26/D26,"")</f>
        <v/>
      </c>
      <c r="N26" s="19" t="n">
        <f aca="false">N27-N25</f>
        <v>0</v>
      </c>
      <c r="O26" s="19" t="n">
        <f aca="false">O27-O25</f>
        <v>0</v>
      </c>
      <c r="P26" s="19" t="n">
        <f aca="false">SUM(L26,O26)</f>
        <v>0</v>
      </c>
    </row>
    <row r="27" customFormat="false" ht="15" hidden="false" customHeight="false" outlineLevel="0" collapsed="false">
      <c r="A27" s="21" t="s">
        <v>75</v>
      </c>
      <c r="B27" s="22"/>
      <c r="C27" s="22" t="n">
        <f aca="false">SUM(C$3:C$24)</f>
        <v>0</v>
      </c>
      <c r="D27" s="22" t="n">
        <f aca="false">SUM(D$3:D$24)</f>
        <v>0</v>
      </c>
      <c r="E27" s="22" t="n">
        <f aca="false">SUM(E$3:E$24)</f>
        <v>0</v>
      </c>
      <c r="F27" s="22" t="n">
        <f aca="false">SUM(F$3:F$24)</f>
        <v>0</v>
      </c>
      <c r="G27" s="23" t="str">
        <f aca="false">IFERROR(F27/D27,"")</f>
        <v/>
      </c>
      <c r="H27" s="22" t="n">
        <f aca="false">SUM(H$3:H$24)</f>
        <v>0</v>
      </c>
      <c r="I27" s="22" t="n">
        <f aca="false">SUM(I$3:I$24)</f>
        <v>0</v>
      </c>
      <c r="J27" s="22" t="n">
        <f aca="false">SUM(F27,I27)</f>
        <v>0</v>
      </c>
      <c r="K27" s="22" t="n">
        <f aca="false">SUM(K$3:K$24)</f>
        <v>0</v>
      </c>
      <c r="L27" s="22" t="n">
        <f aca="false">SUM(L$3:L$24)</f>
        <v>0</v>
      </c>
      <c r="M27" s="23" t="str">
        <f aca="false">IFERROR(L27/D27,"")</f>
        <v/>
      </c>
      <c r="N27" s="22" t="n">
        <f aca="false">SUM(N$3:N$24)</f>
        <v>0</v>
      </c>
      <c r="O27" s="22" t="n">
        <f aca="false">SUM(O$3:O$24)</f>
        <v>0</v>
      </c>
      <c r="P27" s="22" t="n">
        <f aca="false">SUM(L27,O27)</f>
        <v>0</v>
      </c>
    </row>
  </sheetData>
  <sheetProtection sheet="true" formatColumns="false" formatRows="false"/>
  <mergeCells count="2">
    <mergeCell ref="E1:J1"/>
    <mergeCell ref="K1:P1"/>
  </mergeCells>
  <conditionalFormatting sqref="B3:B24">
    <cfRule type="expression" priority="2" aboveAverage="0" equalAverage="0" bottom="0" percent="0" rank="0" text="" dxfId="0">
      <formula>AND($A3&lt;&gt;"",$B3="")</formula>
    </cfRule>
  </conditionalFormatting>
  <conditionalFormatting sqref="E3:E24">
    <cfRule type="expression" priority="3" aboveAverage="0" equalAverage="0" bottom="0" percent="0" rank="0" text="" dxfId="0">
      <formula>AND(E3&lt;&gt;"",E3&gt;$D3)</formula>
    </cfRule>
  </conditionalFormatting>
  <conditionalFormatting sqref="F3:F24">
    <cfRule type="expression" priority="4" aboveAverage="0" equalAverage="0" bottom="0" percent="0" rank="0" text="" dxfId="0">
      <formula>AND(F3&lt;&gt;"",F3&gt;$D3)</formula>
    </cfRule>
  </conditionalFormatting>
  <conditionalFormatting sqref="H3:H24">
    <cfRule type="expression" priority="5" aboveAverage="0" equalAverage="0" bottom="0" percent="0" rank="0" text="" dxfId="0">
      <formula>AND(H3&lt;&gt;"",H3&gt;$C3)</formula>
    </cfRule>
  </conditionalFormatting>
  <conditionalFormatting sqref="I3:I24">
    <cfRule type="expression" priority="6" aboveAverage="0" equalAverage="0" bottom="0" percent="0" rank="0" text="" dxfId="0">
      <formula>AND(I3&lt;&gt;"",I3&gt;$C3)</formula>
    </cfRule>
  </conditionalFormatting>
  <conditionalFormatting sqref="K3:K24">
    <cfRule type="expression" priority="7" aboveAverage="0" equalAverage="0" bottom="0" percent="0" rank="0" text="" dxfId="0">
      <formula>AND(K3&lt;&gt;"",K3&gt;$D3)</formula>
    </cfRule>
  </conditionalFormatting>
  <conditionalFormatting sqref="L3:L24">
    <cfRule type="expression" priority="8" aboveAverage="0" equalAverage="0" bottom="0" percent="0" rank="0" text="" dxfId="0">
      <formula>AND(L3&lt;&gt;"",L3&gt;$D3)</formula>
    </cfRule>
  </conditionalFormatting>
  <conditionalFormatting sqref="N3:N24">
    <cfRule type="expression" priority="9" aboveAverage="0" equalAverage="0" bottom="0" percent="0" rank="0" text="" dxfId="0">
      <formula>AND(N3&lt;&gt;"",N3&gt;$C3)</formula>
    </cfRule>
  </conditionalFormatting>
  <conditionalFormatting sqref="O3:O24">
    <cfRule type="expression" priority="10" aboveAverage="0" equalAverage="0" bottom="0" percent="0" rank="0" text="" dxfId="0">
      <formula>AND(O3&lt;&gt;"",O3&gt;$C3)</formula>
    </cfRule>
  </conditionalFormatting>
  <dataValidations count="1">
    <dataValidation allowBlank="true" error="Escolher: ERPI, CD, Lar Residencial ou UCCI" errorStyle="stop" errorTitle="Tipologia inválida" operator="between" showDropDown="false" showErrorMessage="true" showInputMessage="false" sqref="B3:B24" type="list">
      <formula1>"ERPI,CD,Lar Residencial,UCCI"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5"/>
    <col collapsed="false" customWidth="true" hidden="false" outlineLevel="0" max="16" min="3" style="0" width="13"/>
  </cols>
  <sheetData>
    <row r="1" customFormat="false" ht="15" hidden="false" customHeight="true" outlineLevel="0" collapsed="false">
      <c r="E1" s="7" t="s">
        <v>24</v>
      </c>
      <c r="F1" s="7"/>
      <c r="G1" s="7"/>
      <c r="H1" s="7"/>
      <c r="I1" s="7"/>
      <c r="J1" s="7"/>
      <c r="K1" s="8" t="s">
        <v>25</v>
      </c>
      <c r="L1" s="8"/>
      <c r="M1" s="8"/>
      <c r="N1" s="8"/>
      <c r="O1" s="8"/>
      <c r="P1" s="8"/>
    </row>
    <row r="2" customFormat="false" ht="35.05" hidden="false" customHeight="false" outlineLevel="0" collapsed="false">
      <c r="A2" s="4" t="s">
        <v>26</v>
      </c>
      <c r="B2" s="4" t="s">
        <v>17</v>
      </c>
      <c r="C2" s="4" t="s">
        <v>27</v>
      </c>
      <c r="D2" s="4" t="s">
        <v>19</v>
      </c>
      <c r="E2" s="9" t="s">
        <v>28</v>
      </c>
      <c r="F2" s="9" t="s">
        <v>29</v>
      </c>
      <c r="G2" s="9" t="s">
        <v>30</v>
      </c>
      <c r="H2" s="9" t="s">
        <v>31</v>
      </c>
      <c r="I2" s="9" t="s">
        <v>32</v>
      </c>
      <c r="J2" s="9" t="s">
        <v>33</v>
      </c>
      <c r="K2" s="10" t="s">
        <v>28</v>
      </c>
      <c r="L2" s="10" t="s">
        <v>29</v>
      </c>
      <c r="M2" s="10" t="s">
        <v>30</v>
      </c>
      <c r="N2" s="10" t="s">
        <v>31</v>
      </c>
      <c r="O2" s="10" t="s">
        <v>32</v>
      </c>
      <c r="P2" s="10" t="s">
        <v>33</v>
      </c>
    </row>
    <row r="3" customFormat="false" ht="15" hidden="false" customHeight="false" outlineLevel="0" collapsed="false">
      <c r="A3" s="11" t="s">
        <v>200</v>
      </c>
      <c r="B3" s="12" t="s">
        <v>23</v>
      </c>
      <c r="C3" s="12"/>
      <c r="D3" s="12"/>
      <c r="E3" s="12"/>
      <c r="F3" s="12"/>
      <c r="G3" s="13" t="str">
        <f aca="false">IF($A3="","",IFERROR(F3/$D3,""))</f>
        <v/>
      </c>
      <c r="H3" s="12"/>
      <c r="I3" s="12"/>
      <c r="J3" s="14" t="n">
        <f aca="false">IF($A3="","",SUM(F3,I3))</f>
        <v>0</v>
      </c>
      <c r="K3" s="12"/>
      <c r="L3" s="12"/>
      <c r="M3" s="13" t="str">
        <f aca="false">IF($A3="","",IFERROR(L3/$D3,""))</f>
        <v/>
      </c>
      <c r="N3" s="12"/>
      <c r="O3" s="12"/>
      <c r="P3" s="14" t="n">
        <f aca="false">IF($A3="","",SUM(L3,O3))</f>
        <v>0</v>
      </c>
    </row>
    <row r="4" customFormat="false" ht="15" hidden="false" customHeight="false" outlineLevel="0" collapsed="false">
      <c r="A4" s="11" t="s">
        <v>201</v>
      </c>
      <c r="B4" s="12" t="s">
        <v>23</v>
      </c>
      <c r="C4" s="12"/>
      <c r="D4" s="12"/>
      <c r="E4" s="12"/>
      <c r="F4" s="12"/>
      <c r="G4" s="13" t="str">
        <f aca="false">IF($A4="","",IFERROR(F4/$D4,""))</f>
        <v/>
      </c>
      <c r="H4" s="12"/>
      <c r="I4" s="12"/>
      <c r="J4" s="14" t="n">
        <f aca="false">IF($A4="","",SUM(F4,I4))</f>
        <v>0</v>
      </c>
      <c r="K4" s="12"/>
      <c r="L4" s="12"/>
      <c r="M4" s="13" t="str">
        <f aca="false">IF($A4="","",IFERROR(L4/$D4,""))</f>
        <v/>
      </c>
      <c r="N4" s="12"/>
      <c r="O4" s="12"/>
      <c r="P4" s="14" t="n">
        <f aca="false">IF($A4="","",SUM(L4,O4))</f>
        <v>0</v>
      </c>
    </row>
    <row r="5" customFormat="false" ht="15" hidden="false" customHeight="false" outlineLevel="0" collapsed="false">
      <c r="A5" s="11" t="s">
        <v>202</v>
      </c>
      <c r="B5" s="12" t="s">
        <v>23</v>
      </c>
      <c r="C5" s="12"/>
      <c r="D5" s="12"/>
      <c r="E5" s="12"/>
      <c r="F5" s="12"/>
      <c r="G5" s="13" t="str">
        <f aca="false">IF($A5="","",IFERROR(F5/$D5,""))</f>
        <v/>
      </c>
      <c r="H5" s="12"/>
      <c r="I5" s="12"/>
      <c r="J5" s="14" t="n">
        <f aca="false">IF($A5="","",SUM(F5,I5))</f>
        <v>0</v>
      </c>
      <c r="K5" s="12"/>
      <c r="L5" s="12"/>
      <c r="M5" s="13" t="str">
        <f aca="false">IF($A5="","",IFERROR(L5/$D5,""))</f>
        <v/>
      </c>
      <c r="N5" s="12"/>
      <c r="O5" s="12"/>
      <c r="P5" s="14" t="n">
        <f aca="false">IF($A5="","",SUM(L5,O5))</f>
        <v>0</v>
      </c>
    </row>
    <row r="6" customFormat="false" ht="15" hidden="false" customHeight="false" outlineLevel="0" collapsed="false">
      <c r="A6" s="11" t="s">
        <v>203</v>
      </c>
      <c r="B6" s="12" t="s">
        <v>23</v>
      </c>
      <c r="C6" s="12"/>
      <c r="D6" s="12"/>
      <c r="E6" s="12"/>
      <c r="F6" s="12"/>
      <c r="G6" s="13" t="str">
        <f aca="false">IF($A6="","",IFERROR(F6/$D6,""))</f>
        <v/>
      </c>
      <c r="H6" s="12"/>
      <c r="I6" s="12"/>
      <c r="J6" s="14" t="n">
        <f aca="false">IF($A6="","",SUM(F6,I6))</f>
        <v>0</v>
      </c>
      <c r="K6" s="12"/>
      <c r="L6" s="12"/>
      <c r="M6" s="13" t="str">
        <f aca="false">IF($A6="","",IFERROR(L6/$D6,""))</f>
        <v/>
      </c>
      <c r="N6" s="12"/>
      <c r="O6" s="12"/>
      <c r="P6" s="14" t="n">
        <f aca="false">IF($A6="","",SUM(L6,O6))</f>
        <v>0</v>
      </c>
    </row>
    <row r="7" customFormat="false" ht="15" hidden="false" customHeight="false" outlineLevel="0" collapsed="false">
      <c r="A7" s="11" t="s">
        <v>204</v>
      </c>
      <c r="B7" s="12" t="s">
        <v>51</v>
      </c>
      <c r="C7" s="12"/>
      <c r="D7" s="12"/>
      <c r="E7" s="12"/>
      <c r="F7" s="12"/>
      <c r="G7" s="13" t="str">
        <f aca="false">IF($A7="","",IFERROR(F7/$D7,""))</f>
        <v/>
      </c>
      <c r="H7" s="12"/>
      <c r="I7" s="12"/>
      <c r="J7" s="14" t="n">
        <f aca="false">IF($A7="","",SUM(F7,I7))</f>
        <v>0</v>
      </c>
      <c r="K7" s="12"/>
      <c r="L7" s="12"/>
      <c r="M7" s="13" t="str">
        <f aca="false">IF($A7="","",IFERROR(L7/$D7,""))</f>
        <v/>
      </c>
      <c r="N7" s="12"/>
      <c r="O7" s="12"/>
      <c r="P7" s="14" t="n">
        <f aca="false">IF($A7="","",SUM(L7,O7))</f>
        <v>0</v>
      </c>
    </row>
    <row r="8" customFormat="false" ht="15" hidden="false" customHeight="false" outlineLevel="0" collapsed="false">
      <c r="A8" s="11" t="s">
        <v>205</v>
      </c>
      <c r="B8" s="12" t="s">
        <v>51</v>
      </c>
      <c r="C8" s="12"/>
      <c r="D8" s="12"/>
      <c r="E8" s="12"/>
      <c r="F8" s="12"/>
      <c r="G8" s="13" t="str">
        <f aca="false">IF($A8="","",IFERROR(F8/$D8,""))</f>
        <v/>
      </c>
      <c r="H8" s="12"/>
      <c r="I8" s="12"/>
      <c r="J8" s="14" t="n">
        <f aca="false">IF($A8="","",SUM(F8,I8))</f>
        <v>0</v>
      </c>
      <c r="K8" s="12"/>
      <c r="L8" s="12"/>
      <c r="M8" s="13" t="str">
        <f aca="false">IF($A8="","",IFERROR(L8/$D8,""))</f>
        <v/>
      </c>
      <c r="N8" s="12"/>
      <c r="O8" s="12"/>
      <c r="P8" s="14" t="n">
        <f aca="false">IF($A8="","",SUM(L8,O8))</f>
        <v>0</v>
      </c>
    </row>
    <row r="9" customFormat="false" ht="15" hidden="false" customHeight="false" outlineLevel="0" collapsed="false">
      <c r="A9" s="11" t="s">
        <v>206</v>
      </c>
      <c r="B9" s="12" t="s">
        <v>51</v>
      </c>
      <c r="C9" s="12"/>
      <c r="D9" s="12"/>
      <c r="E9" s="12"/>
      <c r="F9" s="12"/>
      <c r="G9" s="13" t="str">
        <f aca="false">IF($A9="","",IFERROR(F9/$D9,""))</f>
        <v/>
      </c>
      <c r="H9" s="12"/>
      <c r="I9" s="12"/>
      <c r="J9" s="14" t="n">
        <f aca="false">IF($A9="","",SUM(F9,I9))</f>
        <v>0</v>
      </c>
      <c r="K9" s="12"/>
      <c r="L9" s="12"/>
      <c r="M9" s="13" t="str">
        <f aca="false">IF($A9="","",IFERROR(L9/$D9,""))</f>
        <v/>
      </c>
      <c r="N9" s="12"/>
      <c r="O9" s="12"/>
      <c r="P9" s="14" t="n">
        <f aca="false">IF($A9="","",SUM(L9,O9))</f>
        <v>0</v>
      </c>
    </row>
    <row r="10" customFormat="false" ht="15" hidden="false" customHeight="false" outlineLevel="0" collapsed="false">
      <c r="A10" s="11" t="s">
        <v>207</v>
      </c>
      <c r="B10" s="12" t="s">
        <v>51</v>
      </c>
      <c r="C10" s="12"/>
      <c r="D10" s="12"/>
      <c r="E10" s="12"/>
      <c r="F10" s="12"/>
      <c r="G10" s="13" t="str">
        <f aca="false">IF($A10="","",IFERROR(F10/$D10,""))</f>
        <v/>
      </c>
      <c r="H10" s="12"/>
      <c r="I10" s="12"/>
      <c r="J10" s="14" t="n">
        <f aca="false">IF($A10="","",SUM(F10,I10))</f>
        <v>0</v>
      </c>
      <c r="K10" s="12"/>
      <c r="L10" s="12"/>
      <c r="M10" s="13" t="str">
        <f aca="false">IF($A10="","",IFERROR(L10/$D10,""))</f>
        <v/>
      </c>
      <c r="N10" s="12"/>
      <c r="O10" s="12"/>
      <c r="P10" s="14" t="n">
        <f aca="false">IF($A10="","",SUM(L10,O10))</f>
        <v>0</v>
      </c>
    </row>
    <row r="11" customFormat="false" ht="15" hidden="false" customHeight="false" outlineLevel="0" collapsed="false">
      <c r="A11" s="11" t="s">
        <v>208</v>
      </c>
      <c r="B11" s="12" t="s">
        <v>51</v>
      </c>
      <c r="C11" s="12"/>
      <c r="D11" s="12"/>
      <c r="E11" s="12"/>
      <c r="F11" s="12"/>
      <c r="G11" s="13" t="str">
        <f aca="false">IF($A11="","",IFERROR(F11/$D11,""))</f>
        <v/>
      </c>
      <c r="H11" s="12"/>
      <c r="I11" s="12"/>
      <c r="J11" s="14" t="n">
        <f aca="false">IF($A11="","",SUM(F11,I11))</f>
        <v>0</v>
      </c>
      <c r="K11" s="12"/>
      <c r="L11" s="12"/>
      <c r="M11" s="13" t="str">
        <f aca="false">IF($A11="","",IFERROR(L11/$D11,""))</f>
        <v/>
      </c>
      <c r="N11" s="12"/>
      <c r="O11" s="12"/>
      <c r="P11" s="14" t="n">
        <f aca="false">IF($A11="","",SUM(L11,O11))</f>
        <v>0</v>
      </c>
    </row>
    <row r="12" customFormat="false" ht="15" hidden="false" customHeight="false" outlineLevel="0" collapsed="false">
      <c r="A12" s="11" t="s">
        <v>209</v>
      </c>
      <c r="B12" s="12" t="s">
        <v>72</v>
      </c>
      <c r="C12" s="12"/>
      <c r="D12" s="12"/>
      <c r="E12" s="12"/>
      <c r="F12" s="12"/>
      <c r="G12" s="13" t="str">
        <f aca="false">IF($A12="","",IFERROR(F12/$D12,""))</f>
        <v/>
      </c>
      <c r="H12" s="12"/>
      <c r="I12" s="12"/>
      <c r="J12" s="14" t="n">
        <f aca="false">IF($A12="","",SUM(F12,I12))</f>
        <v>0</v>
      </c>
      <c r="K12" s="12"/>
      <c r="L12" s="12"/>
      <c r="M12" s="13" t="str">
        <f aca="false">IF($A12="","",IFERROR(L12/$D12,""))</f>
        <v/>
      </c>
      <c r="N12" s="12"/>
      <c r="O12" s="12"/>
      <c r="P12" s="14" t="n">
        <f aca="false">IF($A12="","",SUM(L12,O12))</f>
        <v>0</v>
      </c>
    </row>
    <row r="13" customFormat="false" ht="15" hidden="false" customHeight="false" outlineLevel="0" collapsed="false">
      <c r="A13" s="11"/>
      <c r="B13" s="12"/>
      <c r="C13" s="12"/>
      <c r="D13" s="12"/>
      <c r="E13" s="12"/>
      <c r="F13" s="12"/>
      <c r="G13" s="13" t="str">
        <f aca="false">IF($A13="","",IFERROR(F13/$D13,""))</f>
        <v/>
      </c>
      <c r="H13" s="12"/>
      <c r="I13" s="12"/>
      <c r="J13" s="14" t="str">
        <f aca="false">IF($A13="","",SUM(F13,I13))</f>
        <v/>
      </c>
      <c r="K13" s="12"/>
      <c r="L13" s="12"/>
      <c r="M13" s="13" t="str">
        <f aca="false">IF($A13="","",IFERROR(L13/$D13,""))</f>
        <v/>
      </c>
      <c r="N13" s="12"/>
      <c r="O13" s="12"/>
      <c r="P13" s="14" t="str">
        <f aca="false">IF($A13="","",SUM(L13,O13))</f>
        <v/>
      </c>
    </row>
    <row r="14" customFormat="false" ht="15" hidden="false" customHeight="false" outlineLevel="0" collapsed="false">
      <c r="A14" s="11"/>
      <c r="B14" s="12"/>
      <c r="C14" s="12"/>
      <c r="D14" s="12"/>
      <c r="E14" s="12"/>
      <c r="F14" s="12"/>
      <c r="G14" s="13" t="str">
        <f aca="false">IF($A14="","",IFERROR(F14/$D14,""))</f>
        <v/>
      </c>
      <c r="H14" s="12"/>
      <c r="I14" s="12"/>
      <c r="J14" s="14" t="str">
        <f aca="false">IF($A14="","",SUM(F14,I14))</f>
        <v/>
      </c>
      <c r="K14" s="12"/>
      <c r="L14" s="12"/>
      <c r="M14" s="13" t="str">
        <f aca="false">IF($A14="","",IFERROR(L14/$D14,""))</f>
        <v/>
      </c>
      <c r="N14" s="12"/>
      <c r="O14" s="12"/>
      <c r="P14" s="14" t="str">
        <f aca="false">IF($A14="","",SUM(L14,O14))</f>
        <v/>
      </c>
    </row>
    <row r="15" customFormat="false" ht="15" hidden="false" customHeight="false" outlineLevel="0" collapsed="false">
      <c r="A15" s="11"/>
      <c r="B15" s="12"/>
      <c r="C15" s="12"/>
      <c r="D15" s="12"/>
      <c r="E15" s="12"/>
      <c r="F15" s="12"/>
      <c r="G15" s="13" t="str">
        <f aca="false">IF($A15="","",IFERROR(F15/$D15,""))</f>
        <v/>
      </c>
      <c r="H15" s="12"/>
      <c r="I15" s="12"/>
      <c r="J15" s="14" t="str">
        <f aca="false">IF($A15="","",SUM(F15,I15))</f>
        <v/>
      </c>
      <c r="K15" s="12"/>
      <c r="L15" s="12"/>
      <c r="M15" s="13" t="str">
        <f aca="false">IF($A15="","",IFERROR(L15/$D15,""))</f>
        <v/>
      </c>
      <c r="N15" s="12"/>
      <c r="O15" s="12"/>
      <c r="P15" s="14" t="str">
        <f aca="false">IF($A15="","",SUM(L15,O15))</f>
        <v/>
      </c>
    </row>
    <row r="16" customFormat="false" ht="15" hidden="false" customHeight="false" outlineLevel="0" collapsed="false">
      <c r="A16" s="11"/>
      <c r="B16" s="12"/>
      <c r="C16" s="12"/>
      <c r="D16" s="12"/>
      <c r="E16" s="12"/>
      <c r="F16" s="12"/>
      <c r="G16" s="13" t="str">
        <f aca="false">IF($A16="","",IFERROR(F16/$D16,""))</f>
        <v/>
      </c>
      <c r="H16" s="12"/>
      <c r="I16" s="12"/>
      <c r="J16" s="14" t="str">
        <f aca="false">IF($A16="","",SUM(F16,I16))</f>
        <v/>
      </c>
      <c r="K16" s="12"/>
      <c r="L16" s="12"/>
      <c r="M16" s="13" t="str">
        <f aca="false">IF($A16="","",IFERROR(L16/$D16,""))</f>
        <v/>
      </c>
      <c r="N16" s="12"/>
      <c r="O16" s="12"/>
      <c r="P16" s="14" t="str">
        <f aca="false">IF($A16="","",SUM(L16,O16))</f>
        <v/>
      </c>
    </row>
    <row r="17" customFormat="false" ht="15" hidden="false" customHeight="false" outlineLevel="0" collapsed="false">
      <c r="A17" s="15" t="s">
        <v>73</v>
      </c>
      <c r="B17" s="16"/>
      <c r="C17" s="16" t="n">
        <f aca="false">SUMIFS(C$3:C$16,$B$3:$B$16,"ERPI")</f>
        <v>0</v>
      </c>
      <c r="D17" s="16" t="n">
        <f aca="false">SUMIFS(D$3:D$16,$B$3:$B$16,"ERPI")</f>
        <v>0</v>
      </c>
      <c r="E17" s="16" t="n">
        <f aca="false">SUMIFS(E$3:E$16,$B$3:$B$16,"ERPI")</f>
        <v>0</v>
      </c>
      <c r="F17" s="16" t="n">
        <f aca="false">SUMIFS(F$3:F$16,$B$3:$B$16,"ERPI")</f>
        <v>0</v>
      </c>
      <c r="G17" s="17" t="str">
        <f aca="false">IFERROR(F17/D17,"")</f>
        <v/>
      </c>
      <c r="H17" s="16" t="n">
        <f aca="false">SUMIFS(H$3:H$16,$B$3:$B$16,"ERPI")</f>
        <v>0</v>
      </c>
      <c r="I17" s="16" t="n">
        <f aca="false">SUMIFS(I$3:I$16,$B$3:$B$16,"ERPI")</f>
        <v>0</v>
      </c>
      <c r="J17" s="16" t="n">
        <f aca="false">SUM(F17,I17)</f>
        <v>0</v>
      </c>
      <c r="K17" s="16" t="n">
        <f aca="false">SUMIFS(K$3:K$16,$B$3:$B$16,"ERPI")</f>
        <v>0</v>
      </c>
      <c r="L17" s="16" t="n">
        <f aca="false">SUMIFS(L$3:L$16,$B$3:$B$16,"ERPI")</f>
        <v>0</v>
      </c>
      <c r="M17" s="17" t="str">
        <f aca="false">IFERROR(L17/D17,"")</f>
        <v/>
      </c>
      <c r="N17" s="16" t="n">
        <f aca="false">SUMIFS(N$3:N$16,$B$3:$B$16,"ERPI")</f>
        <v>0</v>
      </c>
      <c r="O17" s="16" t="n">
        <f aca="false">SUMIFS(O$3:O$16,$B$3:$B$16,"ERPI")</f>
        <v>0</v>
      </c>
      <c r="P17" s="16" t="n">
        <f aca="false">SUM(L17,O17)</f>
        <v>0</v>
      </c>
    </row>
    <row r="18" customFormat="false" ht="15" hidden="false" customHeight="false" outlineLevel="0" collapsed="false">
      <c r="A18" s="18" t="s">
        <v>74</v>
      </c>
      <c r="B18" s="19"/>
      <c r="C18" s="19" t="n">
        <f aca="false">C19-C17</f>
        <v>0</v>
      </c>
      <c r="D18" s="19" t="n">
        <f aca="false">D19-D17</f>
        <v>0</v>
      </c>
      <c r="E18" s="19" t="n">
        <f aca="false">E19-E17</f>
        <v>0</v>
      </c>
      <c r="F18" s="19" t="n">
        <f aca="false">F19-F17</f>
        <v>0</v>
      </c>
      <c r="G18" s="20" t="str">
        <f aca="false">IFERROR(F18/D18,"")</f>
        <v/>
      </c>
      <c r="H18" s="19" t="n">
        <f aca="false">H19-H17</f>
        <v>0</v>
      </c>
      <c r="I18" s="19" t="n">
        <f aca="false">I19-I17</f>
        <v>0</v>
      </c>
      <c r="J18" s="19" t="n">
        <f aca="false">SUM(F18,I18)</f>
        <v>0</v>
      </c>
      <c r="K18" s="19" t="n">
        <f aca="false">K19-K17</f>
        <v>0</v>
      </c>
      <c r="L18" s="19" t="n">
        <f aca="false">L19-L17</f>
        <v>0</v>
      </c>
      <c r="M18" s="20" t="str">
        <f aca="false">IFERROR(L18/D18,"")</f>
        <v/>
      </c>
      <c r="N18" s="19" t="n">
        <f aca="false">N19-N17</f>
        <v>0</v>
      </c>
      <c r="O18" s="19" t="n">
        <f aca="false">O19-O17</f>
        <v>0</v>
      </c>
      <c r="P18" s="19" t="n">
        <f aca="false">SUM(L18,O18)</f>
        <v>0</v>
      </c>
    </row>
    <row r="19" customFormat="false" ht="15" hidden="false" customHeight="false" outlineLevel="0" collapsed="false">
      <c r="A19" s="21" t="s">
        <v>75</v>
      </c>
      <c r="B19" s="22"/>
      <c r="C19" s="22" t="n">
        <f aca="false">SUM(C$3:C$16)</f>
        <v>0</v>
      </c>
      <c r="D19" s="22" t="n">
        <f aca="false">SUM(D$3:D$16)</f>
        <v>0</v>
      </c>
      <c r="E19" s="22" t="n">
        <f aca="false">SUM(E$3:E$16)</f>
        <v>0</v>
      </c>
      <c r="F19" s="22" t="n">
        <f aca="false">SUM(F$3:F$16)</f>
        <v>0</v>
      </c>
      <c r="G19" s="23" t="str">
        <f aca="false">IFERROR(F19/D19,"")</f>
        <v/>
      </c>
      <c r="H19" s="22" t="n">
        <f aca="false">SUM(H$3:H$16)</f>
        <v>0</v>
      </c>
      <c r="I19" s="22" t="n">
        <f aca="false">SUM(I$3:I$16)</f>
        <v>0</v>
      </c>
      <c r="J19" s="22" t="n">
        <f aca="false">SUM(F19,I19)</f>
        <v>0</v>
      </c>
      <c r="K19" s="22" t="n">
        <f aca="false">SUM(K$3:K$16)</f>
        <v>0</v>
      </c>
      <c r="L19" s="22" t="n">
        <f aca="false">SUM(L$3:L$16)</f>
        <v>0</v>
      </c>
      <c r="M19" s="23" t="str">
        <f aca="false">IFERROR(L19/D19,"")</f>
        <v/>
      </c>
      <c r="N19" s="22" t="n">
        <f aca="false">SUM(N$3:N$16)</f>
        <v>0</v>
      </c>
      <c r="O19" s="22" t="n">
        <f aca="false">SUM(O$3:O$16)</f>
        <v>0</v>
      </c>
      <c r="P19" s="22" t="n">
        <f aca="false">SUM(L19,O19)</f>
        <v>0</v>
      </c>
    </row>
  </sheetData>
  <sheetProtection sheet="true" formatColumns="false" formatRows="false"/>
  <mergeCells count="2">
    <mergeCell ref="E1:J1"/>
    <mergeCell ref="K1:P1"/>
  </mergeCells>
  <conditionalFormatting sqref="B3:B16">
    <cfRule type="expression" priority="2" aboveAverage="0" equalAverage="0" bottom="0" percent="0" rank="0" text="" dxfId="0">
      <formula>AND($A3&lt;&gt;"",$B3="")</formula>
    </cfRule>
  </conditionalFormatting>
  <conditionalFormatting sqref="E3:E16">
    <cfRule type="expression" priority="3" aboveAverage="0" equalAverage="0" bottom="0" percent="0" rank="0" text="" dxfId="0">
      <formula>AND(E3&lt;&gt;"",E3&gt;$D3)</formula>
    </cfRule>
  </conditionalFormatting>
  <conditionalFormatting sqref="F3:F16">
    <cfRule type="expression" priority="4" aboveAverage="0" equalAverage="0" bottom="0" percent="0" rank="0" text="" dxfId="0">
      <formula>AND(F3&lt;&gt;"",F3&gt;$D3)</formula>
    </cfRule>
  </conditionalFormatting>
  <conditionalFormatting sqref="H3:H16">
    <cfRule type="expression" priority="5" aboveAverage="0" equalAverage="0" bottom="0" percent="0" rank="0" text="" dxfId="0">
      <formula>AND(H3&lt;&gt;"",H3&gt;$C3)</formula>
    </cfRule>
  </conditionalFormatting>
  <conditionalFormatting sqref="I3:I16">
    <cfRule type="expression" priority="6" aboveAverage="0" equalAverage="0" bottom="0" percent="0" rank="0" text="" dxfId="0">
      <formula>AND(I3&lt;&gt;"",I3&gt;$C3)</formula>
    </cfRule>
  </conditionalFormatting>
  <conditionalFormatting sqref="K3:K16">
    <cfRule type="expression" priority="7" aboveAverage="0" equalAverage="0" bottom="0" percent="0" rank="0" text="" dxfId="0">
      <formula>AND(K3&lt;&gt;"",K3&gt;$D3)</formula>
    </cfRule>
  </conditionalFormatting>
  <conditionalFormatting sqref="L3:L16">
    <cfRule type="expression" priority="8" aboveAverage="0" equalAverage="0" bottom="0" percent="0" rank="0" text="" dxfId="0">
      <formula>AND(L3&lt;&gt;"",L3&gt;$D3)</formula>
    </cfRule>
  </conditionalFormatting>
  <conditionalFormatting sqref="N3:N16">
    <cfRule type="expression" priority="9" aboveAverage="0" equalAverage="0" bottom="0" percent="0" rank="0" text="" dxfId="0">
      <formula>AND(N3&lt;&gt;"",N3&gt;$C3)</formula>
    </cfRule>
  </conditionalFormatting>
  <conditionalFormatting sqref="O3:O16">
    <cfRule type="expression" priority="10" aboveAverage="0" equalAverage="0" bottom="0" percent="0" rank="0" text="" dxfId="0">
      <formula>AND(O3&lt;&gt;"",O3&gt;$C3)</formula>
    </cfRule>
  </conditionalFormatting>
  <dataValidations count="1">
    <dataValidation allowBlank="true" error="Escolher: ERPI, CD, Lar Residencial ou UCCI" errorStyle="stop" errorTitle="Tipologia inválida" operator="between" showDropDown="false" showErrorMessage="true" showInputMessage="false" sqref="B3:B16" type="list">
      <formula1>"ERPI,CD,Lar Residencial,UCCI"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5"/>
    <col collapsed="false" customWidth="true" hidden="false" outlineLevel="0" max="16" min="3" style="0" width="13"/>
  </cols>
  <sheetData>
    <row r="1" customFormat="false" ht="15" hidden="false" customHeight="true" outlineLevel="0" collapsed="false">
      <c r="E1" s="7" t="s">
        <v>24</v>
      </c>
      <c r="F1" s="7"/>
      <c r="G1" s="7"/>
      <c r="H1" s="7"/>
      <c r="I1" s="7"/>
      <c r="J1" s="7"/>
      <c r="K1" s="8" t="s">
        <v>25</v>
      </c>
      <c r="L1" s="8"/>
      <c r="M1" s="8"/>
      <c r="N1" s="8"/>
      <c r="O1" s="8"/>
      <c r="P1" s="8"/>
    </row>
    <row r="2" customFormat="false" ht="35.05" hidden="false" customHeight="false" outlineLevel="0" collapsed="false">
      <c r="A2" s="4" t="s">
        <v>26</v>
      </c>
      <c r="B2" s="4" t="s">
        <v>17</v>
      </c>
      <c r="C2" s="4" t="s">
        <v>27</v>
      </c>
      <c r="D2" s="4" t="s">
        <v>19</v>
      </c>
      <c r="E2" s="9" t="s">
        <v>28</v>
      </c>
      <c r="F2" s="9" t="s">
        <v>29</v>
      </c>
      <c r="G2" s="9" t="s">
        <v>30</v>
      </c>
      <c r="H2" s="9" t="s">
        <v>31</v>
      </c>
      <c r="I2" s="9" t="s">
        <v>32</v>
      </c>
      <c r="J2" s="9" t="s">
        <v>33</v>
      </c>
      <c r="K2" s="10" t="s">
        <v>28</v>
      </c>
      <c r="L2" s="10" t="s">
        <v>29</v>
      </c>
      <c r="M2" s="10" t="s">
        <v>30</v>
      </c>
      <c r="N2" s="10" t="s">
        <v>31</v>
      </c>
      <c r="O2" s="10" t="s">
        <v>32</v>
      </c>
      <c r="P2" s="10" t="s">
        <v>33</v>
      </c>
    </row>
    <row r="3" customFormat="false" ht="15" hidden="false" customHeight="false" outlineLevel="0" collapsed="false">
      <c r="A3" s="11" t="s">
        <v>210</v>
      </c>
      <c r="B3" s="12" t="s">
        <v>23</v>
      </c>
      <c r="C3" s="12"/>
      <c r="D3" s="12"/>
      <c r="E3" s="12"/>
      <c r="F3" s="12"/>
      <c r="G3" s="13" t="str">
        <f aca="false">IF($A3="","",IFERROR(F3/$D3,""))</f>
        <v/>
      </c>
      <c r="H3" s="12"/>
      <c r="I3" s="12"/>
      <c r="J3" s="14" t="n">
        <f aca="false">IF($A3="","",SUM(F3,I3))</f>
        <v>0</v>
      </c>
      <c r="K3" s="12"/>
      <c r="L3" s="12"/>
      <c r="M3" s="13" t="str">
        <f aca="false">IF($A3="","",IFERROR(L3/$D3,""))</f>
        <v/>
      </c>
      <c r="N3" s="12"/>
      <c r="O3" s="12"/>
      <c r="P3" s="14" t="n">
        <f aca="false">IF($A3="","",SUM(L3,O3))</f>
        <v>0</v>
      </c>
    </row>
    <row r="4" customFormat="false" ht="15" hidden="false" customHeight="false" outlineLevel="0" collapsed="false">
      <c r="A4" s="11" t="s">
        <v>211</v>
      </c>
      <c r="B4" s="12" t="s">
        <v>23</v>
      </c>
      <c r="C4" s="12"/>
      <c r="D4" s="12"/>
      <c r="E4" s="12"/>
      <c r="F4" s="12"/>
      <c r="G4" s="13" t="str">
        <f aca="false">IF($A4="","",IFERROR(F4/$D4,""))</f>
        <v/>
      </c>
      <c r="H4" s="12"/>
      <c r="I4" s="12"/>
      <c r="J4" s="14" t="n">
        <f aca="false">IF($A4="","",SUM(F4,I4))</f>
        <v>0</v>
      </c>
      <c r="K4" s="12"/>
      <c r="L4" s="12"/>
      <c r="M4" s="13" t="str">
        <f aca="false">IF($A4="","",IFERROR(L4/$D4,""))</f>
        <v/>
      </c>
      <c r="N4" s="12"/>
      <c r="O4" s="12"/>
      <c r="P4" s="14" t="n">
        <f aca="false">IF($A4="","",SUM(L4,O4))</f>
        <v>0</v>
      </c>
    </row>
    <row r="5" customFormat="false" ht="15" hidden="false" customHeight="false" outlineLevel="0" collapsed="false">
      <c r="A5" s="11" t="s">
        <v>212</v>
      </c>
      <c r="B5" s="12" t="s">
        <v>23</v>
      </c>
      <c r="C5" s="12"/>
      <c r="D5" s="12"/>
      <c r="E5" s="12"/>
      <c r="F5" s="12"/>
      <c r="G5" s="13" t="str">
        <f aca="false">IF($A5="","",IFERROR(F5/$D5,""))</f>
        <v/>
      </c>
      <c r="H5" s="12"/>
      <c r="I5" s="12"/>
      <c r="J5" s="14" t="n">
        <f aca="false">IF($A5="","",SUM(F5,I5))</f>
        <v>0</v>
      </c>
      <c r="K5" s="12"/>
      <c r="L5" s="12"/>
      <c r="M5" s="13" t="str">
        <f aca="false">IF($A5="","",IFERROR(L5/$D5,""))</f>
        <v/>
      </c>
      <c r="N5" s="12"/>
      <c r="O5" s="12"/>
      <c r="P5" s="14" t="n">
        <f aca="false">IF($A5="","",SUM(L5,O5))</f>
        <v>0</v>
      </c>
    </row>
    <row r="6" customFormat="false" ht="15" hidden="false" customHeight="false" outlineLevel="0" collapsed="false">
      <c r="A6" s="11" t="s">
        <v>213</v>
      </c>
      <c r="B6" s="12" t="s">
        <v>23</v>
      </c>
      <c r="C6" s="12"/>
      <c r="D6" s="12"/>
      <c r="E6" s="12"/>
      <c r="F6" s="12"/>
      <c r="G6" s="13" t="str">
        <f aca="false">IF($A6="","",IFERROR(F6/$D6,""))</f>
        <v/>
      </c>
      <c r="H6" s="12"/>
      <c r="I6" s="12"/>
      <c r="J6" s="14" t="n">
        <f aca="false">IF($A6="","",SUM(F6,I6))</f>
        <v>0</v>
      </c>
      <c r="K6" s="12"/>
      <c r="L6" s="12"/>
      <c r="M6" s="13" t="str">
        <f aca="false">IF($A6="","",IFERROR(L6/$D6,""))</f>
        <v/>
      </c>
      <c r="N6" s="12"/>
      <c r="O6" s="12"/>
      <c r="P6" s="14" t="n">
        <f aca="false">IF($A6="","",SUM(L6,O6))</f>
        <v>0</v>
      </c>
    </row>
    <row r="7" customFormat="false" ht="15" hidden="false" customHeight="false" outlineLevel="0" collapsed="false">
      <c r="A7" s="11" t="s">
        <v>214</v>
      </c>
      <c r="B7" s="12" t="s">
        <v>23</v>
      </c>
      <c r="C7" s="12"/>
      <c r="D7" s="12"/>
      <c r="E7" s="12"/>
      <c r="F7" s="12"/>
      <c r="G7" s="13" t="str">
        <f aca="false">IF($A7="","",IFERROR(F7/$D7,""))</f>
        <v/>
      </c>
      <c r="H7" s="12"/>
      <c r="I7" s="12"/>
      <c r="J7" s="14" t="n">
        <f aca="false">IF($A7="","",SUM(F7,I7))</f>
        <v>0</v>
      </c>
      <c r="K7" s="12"/>
      <c r="L7" s="12"/>
      <c r="M7" s="13" t="str">
        <f aca="false">IF($A7="","",IFERROR(L7/$D7,""))</f>
        <v/>
      </c>
      <c r="N7" s="12"/>
      <c r="O7" s="12"/>
      <c r="P7" s="14" t="n">
        <f aca="false">IF($A7="","",SUM(L7,O7))</f>
        <v>0</v>
      </c>
    </row>
    <row r="8" customFormat="false" ht="15" hidden="false" customHeight="false" outlineLevel="0" collapsed="false">
      <c r="A8" s="11" t="s">
        <v>215</v>
      </c>
      <c r="B8" s="12" t="s">
        <v>51</v>
      </c>
      <c r="C8" s="12"/>
      <c r="D8" s="12"/>
      <c r="E8" s="12"/>
      <c r="F8" s="12"/>
      <c r="G8" s="13" t="str">
        <f aca="false">IF($A8="","",IFERROR(F8/$D8,""))</f>
        <v/>
      </c>
      <c r="H8" s="12"/>
      <c r="I8" s="12"/>
      <c r="J8" s="14" t="n">
        <f aca="false">IF($A8="","",SUM(F8,I8))</f>
        <v>0</v>
      </c>
      <c r="K8" s="12"/>
      <c r="L8" s="12"/>
      <c r="M8" s="13" t="str">
        <f aca="false">IF($A8="","",IFERROR(L8/$D8,""))</f>
        <v/>
      </c>
      <c r="N8" s="12"/>
      <c r="O8" s="12"/>
      <c r="P8" s="14" t="n">
        <f aca="false">IF($A8="","",SUM(L8,O8))</f>
        <v>0</v>
      </c>
    </row>
    <row r="9" customFormat="false" ht="15" hidden="false" customHeight="false" outlineLevel="0" collapsed="false">
      <c r="A9" s="11" t="s">
        <v>216</v>
      </c>
      <c r="B9" s="12" t="s">
        <v>51</v>
      </c>
      <c r="C9" s="12"/>
      <c r="D9" s="12"/>
      <c r="E9" s="12"/>
      <c r="F9" s="12"/>
      <c r="G9" s="13" t="str">
        <f aca="false">IF($A9="","",IFERROR(F9/$D9,""))</f>
        <v/>
      </c>
      <c r="H9" s="12"/>
      <c r="I9" s="12"/>
      <c r="J9" s="14" t="n">
        <f aca="false">IF($A9="","",SUM(F9,I9))</f>
        <v>0</v>
      </c>
      <c r="K9" s="12"/>
      <c r="L9" s="12"/>
      <c r="M9" s="13" t="str">
        <f aca="false">IF($A9="","",IFERROR(L9/$D9,""))</f>
        <v/>
      </c>
      <c r="N9" s="12"/>
      <c r="O9" s="12"/>
      <c r="P9" s="14" t="n">
        <f aca="false">IF($A9="","",SUM(L9,O9))</f>
        <v>0</v>
      </c>
    </row>
    <row r="10" customFormat="false" ht="15" hidden="false" customHeight="false" outlineLevel="0" collapsed="false">
      <c r="A10" s="11" t="s">
        <v>217</v>
      </c>
      <c r="B10" s="12" t="s">
        <v>51</v>
      </c>
      <c r="C10" s="12"/>
      <c r="D10" s="12"/>
      <c r="E10" s="12"/>
      <c r="F10" s="12"/>
      <c r="G10" s="13" t="str">
        <f aca="false">IF($A10="","",IFERROR(F10/$D10,""))</f>
        <v/>
      </c>
      <c r="H10" s="12"/>
      <c r="I10" s="12"/>
      <c r="J10" s="14" t="n">
        <f aca="false">IF($A10="","",SUM(F10,I10))</f>
        <v>0</v>
      </c>
      <c r="K10" s="12"/>
      <c r="L10" s="12"/>
      <c r="M10" s="13" t="str">
        <f aca="false">IF($A10="","",IFERROR(L10/$D10,""))</f>
        <v/>
      </c>
      <c r="N10" s="12"/>
      <c r="O10" s="12"/>
      <c r="P10" s="14" t="n">
        <f aca="false">IF($A10="","",SUM(L10,O10))</f>
        <v>0</v>
      </c>
    </row>
    <row r="11" customFormat="false" ht="15" hidden="false" customHeight="false" outlineLevel="0" collapsed="false">
      <c r="A11" s="11" t="s">
        <v>218</v>
      </c>
      <c r="B11" s="12" t="s">
        <v>51</v>
      </c>
      <c r="C11" s="12"/>
      <c r="D11" s="12"/>
      <c r="E11" s="12"/>
      <c r="F11" s="12"/>
      <c r="G11" s="13" t="str">
        <f aca="false">IF($A11="","",IFERROR(F11/$D11,""))</f>
        <v/>
      </c>
      <c r="H11" s="12"/>
      <c r="I11" s="12"/>
      <c r="J11" s="14" t="n">
        <f aca="false">IF($A11="","",SUM(F11,I11))</f>
        <v>0</v>
      </c>
      <c r="K11" s="12"/>
      <c r="L11" s="12"/>
      <c r="M11" s="13" t="str">
        <f aca="false">IF($A11="","",IFERROR(L11/$D11,""))</f>
        <v/>
      </c>
      <c r="N11" s="12"/>
      <c r="O11" s="12"/>
      <c r="P11" s="14" t="n">
        <f aca="false">IF($A11="","",SUM(L11,O11))</f>
        <v>0</v>
      </c>
    </row>
    <row r="12" customFormat="false" ht="15" hidden="false" customHeight="false" outlineLevel="0" collapsed="false">
      <c r="A12" s="11" t="s">
        <v>219</v>
      </c>
      <c r="B12" s="12" t="s">
        <v>69</v>
      </c>
      <c r="C12" s="12"/>
      <c r="D12" s="12"/>
      <c r="E12" s="12"/>
      <c r="F12" s="12"/>
      <c r="G12" s="13" t="str">
        <f aca="false">IF($A12="","",IFERROR(F12/$D12,""))</f>
        <v/>
      </c>
      <c r="H12" s="12"/>
      <c r="I12" s="12"/>
      <c r="J12" s="14" t="n">
        <f aca="false">IF($A12="","",SUM(F12,I12))</f>
        <v>0</v>
      </c>
      <c r="K12" s="12"/>
      <c r="L12" s="12"/>
      <c r="M12" s="13" t="str">
        <f aca="false">IF($A12="","",IFERROR(L12/$D12,""))</f>
        <v/>
      </c>
      <c r="N12" s="12"/>
      <c r="O12" s="12"/>
      <c r="P12" s="14" t="n">
        <f aca="false">IF($A12="","",SUM(L12,O12))</f>
        <v>0</v>
      </c>
    </row>
    <row r="13" customFormat="false" ht="15" hidden="false" customHeight="false" outlineLevel="0" collapsed="false">
      <c r="A13" s="11"/>
      <c r="B13" s="12"/>
      <c r="C13" s="12"/>
      <c r="D13" s="12"/>
      <c r="E13" s="12"/>
      <c r="F13" s="12"/>
      <c r="G13" s="13" t="str">
        <f aca="false">IF($A13="","",IFERROR(F13/$D13,""))</f>
        <v/>
      </c>
      <c r="H13" s="12"/>
      <c r="I13" s="12"/>
      <c r="J13" s="14" t="str">
        <f aca="false">IF($A13="","",SUM(F13,I13))</f>
        <v/>
      </c>
      <c r="K13" s="12"/>
      <c r="L13" s="12"/>
      <c r="M13" s="13" t="str">
        <f aca="false">IF($A13="","",IFERROR(L13/$D13,""))</f>
        <v/>
      </c>
      <c r="N13" s="12"/>
      <c r="O13" s="12"/>
      <c r="P13" s="14" t="str">
        <f aca="false">IF($A13="","",SUM(L13,O13))</f>
        <v/>
      </c>
    </row>
    <row r="14" customFormat="false" ht="15" hidden="false" customHeight="false" outlineLevel="0" collapsed="false">
      <c r="A14" s="11"/>
      <c r="B14" s="12"/>
      <c r="C14" s="12"/>
      <c r="D14" s="12"/>
      <c r="E14" s="12"/>
      <c r="F14" s="12"/>
      <c r="G14" s="13" t="str">
        <f aca="false">IF($A14="","",IFERROR(F14/$D14,""))</f>
        <v/>
      </c>
      <c r="H14" s="12"/>
      <c r="I14" s="12"/>
      <c r="J14" s="14" t="str">
        <f aca="false">IF($A14="","",SUM(F14,I14))</f>
        <v/>
      </c>
      <c r="K14" s="12"/>
      <c r="L14" s="12"/>
      <c r="M14" s="13" t="str">
        <f aca="false">IF($A14="","",IFERROR(L14/$D14,""))</f>
        <v/>
      </c>
      <c r="N14" s="12"/>
      <c r="O14" s="12"/>
      <c r="P14" s="14" t="str">
        <f aca="false">IF($A14="","",SUM(L14,O14))</f>
        <v/>
      </c>
    </row>
    <row r="15" customFormat="false" ht="15" hidden="false" customHeight="false" outlineLevel="0" collapsed="false">
      <c r="A15" s="11"/>
      <c r="B15" s="12"/>
      <c r="C15" s="12"/>
      <c r="D15" s="12"/>
      <c r="E15" s="12"/>
      <c r="F15" s="12"/>
      <c r="G15" s="13" t="str">
        <f aca="false">IF($A15="","",IFERROR(F15/$D15,""))</f>
        <v/>
      </c>
      <c r="H15" s="12"/>
      <c r="I15" s="12"/>
      <c r="J15" s="14" t="str">
        <f aca="false">IF($A15="","",SUM(F15,I15))</f>
        <v/>
      </c>
      <c r="K15" s="12"/>
      <c r="L15" s="12"/>
      <c r="M15" s="13" t="str">
        <f aca="false">IF($A15="","",IFERROR(L15/$D15,""))</f>
        <v/>
      </c>
      <c r="N15" s="12"/>
      <c r="O15" s="12"/>
      <c r="P15" s="14" t="str">
        <f aca="false">IF($A15="","",SUM(L15,O15))</f>
        <v/>
      </c>
    </row>
    <row r="16" customFormat="false" ht="15" hidden="false" customHeight="false" outlineLevel="0" collapsed="false">
      <c r="A16" s="11"/>
      <c r="B16" s="12"/>
      <c r="C16" s="12"/>
      <c r="D16" s="12"/>
      <c r="E16" s="12"/>
      <c r="F16" s="12"/>
      <c r="G16" s="13" t="str">
        <f aca="false">IF($A16="","",IFERROR(F16/$D16,""))</f>
        <v/>
      </c>
      <c r="H16" s="12"/>
      <c r="I16" s="12"/>
      <c r="J16" s="14" t="str">
        <f aca="false">IF($A16="","",SUM(F16,I16))</f>
        <v/>
      </c>
      <c r="K16" s="12"/>
      <c r="L16" s="12"/>
      <c r="M16" s="13" t="str">
        <f aca="false">IF($A16="","",IFERROR(L16/$D16,""))</f>
        <v/>
      </c>
      <c r="N16" s="12"/>
      <c r="O16" s="12"/>
      <c r="P16" s="14" t="str">
        <f aca="false">IF($A16="","",SUM(L16,O16))</f>
        <v/>
      </c>
    </row>
    <row r="17" customFormat="false" ht="15" hidden="false" customHeight="false" outlineLevel="0" collapsed="false">
      <c r="A17" s="15" t="s">
        <v>73</v>
      </c>
      <c r="B17" s="16"/>
      <c r="C17" s="16" t="n">
        <f aca="false">SUMIFS(C$3:C$16,$B$3:$B$16,"ERPI")</f>
        <v>0</v>
      </c>
      <c r="D17" s="16" t="n">
        <f aca="false">SUMIFS(D$3:D$16,$B$3:$B$16,"ERPI")</f>
        <v>0</v>
      </c>
      <c r="E17" s="16" t="n">
        <f aca="false">SUMIFS(E$3:E$16,$B$3:$B$16,"ERPI")</f>
        <v>0</v>
      </c>
      <c r="F17" s="16" t="n">
        <f aca="false">SUMIFS(F$3:F$16,$B$3:$B$16,"ERPI")</f>
        <v>0</v>
      </c>
      <c r="G17" s="17" t="str">
        <f aca="false">IFERROR(F17/D17,"")</f>
        <v/>
      </c>
      <c r="H17" s="16" t="n">
        <f aca="false">SUMIFS(H$3:H$16,$B$3:$B$16,"ERPI")</f>
        <v>0</v>
      </c>
      <c r="I17" s="16" t="n">
        <f aca="false">SUMIFS(I$3:I$16,$B$3:$B$16,"ERPI")</f>
        <v>0</v>
      </c>
      <c r="J17" s="16" t="n">
        <f aca="false">SUM(F17,I17)</f>
        <v>0</v>
      </c>
      <c r="K17" s="16" t="n">
        <f aca="false">SUMIFS(K$3:K$16,$B$3:$B$16,"ERPI")</f>
        <v>0</v>
      </c>
      <c r="L17" s="16" t="n">
        <f aca="false">SUMIFS(L$3:L$16,$B$3:$B$16,"ERPI")</f>
        <v>0</v>
      </c>
      <c r="M17" s="17" t="str">
        <f aca="false">IFERROR(L17/D17,"")</f>
        <v/>
      </c>
      <c r="N17" s="16" t="n">
        <f aca="false">SUMIFS(N$3:N$16,$B$3:$B$16,"ERPI")</f>
        <v>0</v>
      </c>
      <c r="O17" s="16" t="n">
        <f aca="false">SUMIFS(O$3:O$16,$B$3:$B$16,"ERPI")</f>
        <v>0</v>
      </c>
      <c r="P17" s="16" t="n">
        <f aca="false">SUM(L17,O17)</f>
        <v>0</v>
      </c>
    </row>
    <row r="18" customFormat="false" ht="15" hidden="false" customHeight="false" outlineLevel="0" collapsed="false">
      <c r="A18" s="18" t="s">
        <v>74</v>
      </c>
      <c r="B18" s="19"/>
      <c r="C18" s="19" t="n">
        <f aca="false">C19-C17</f>
        <v>0</v>
      </c>
      <c r="D18" s="19" t="n">
        <f aca="false">D19-D17</f>
        <v>0</v>
      </c>
      <c r="E18" s="19" t="n">
        <f aca="false">E19-E17</f>
        <v>0</v>
      </c>
      <c r="F18" s="19" t="n">
        <f aca="false">F19-F17</f>
        <v>0</v>
      </c>
      <c r="G18" s="20" t="str">
        <f aca="false">IFERROR(F18/D18,"")</f>
        <v/>
      </c>
      <c r="H18" s="19" t="n">
        <f aca="false">H19-H17</f>
        <v>0</v>
      </c>
      <c r="I18" s="19" t="n">
        <f aca="false">I19-I17</f>
        <v>0</v>
      </c>
      <c r="J18" s="19" t="n">
        <f aca="false">SUM(F18,I18)</f>
        <v>0</v>
      </c>
      <c r="K18" s="19" t="n">
        <f aca="false">K19-K17</f>
        <v>0</v>
      </c>
      <c r="L18" s="19" t="n">
        <f aca="false">L19-L17</f>
        <v>0</v>
      </c>
      <c r="M18" s="20" t="str">
        <f aca="false">IFERROR(L18/D18,"")</f>
        <v/>
      </c>
      <c r="N18" s="19" t="n">
        <f aca="false">N19-N17</f>
        <v>0</v>
      </c>
      <c r="O18" s="19" t="n">
        <f aca="false">O19-O17</f>
        <v>0</v>
      </c>
      <c r="P18" s="19" t="n">
        <f aca="false">SUM(L18,O18)</f>
        <v>0</v>
      </c>
    </row>
    <row r="19" customFormat="false" ht="15" hidden="false" customHeight="false" outlineLevel="0" collapsed="false">
      <c r="A19" s="21" t="s">
        <v>75</v>
      </c>
      <c r="B19" s="22"/>
      <c r="C19" s="22" t="n">
        <f aca="false">SUM(C$3:C$16)</f>
        <v>0</v>
      </c>
      <c r="D19" s="22" t="n">
        <f aca="false">SUM(D$3:D$16)</f>
        <v>0</v>
      </c>
      <c r="E19" s="22" t="n">
        <f aca="false">SUM(E$3:E$16)</f>
        <v>0</v>
      </c>
      <c r="F19" s="22" t="n">
        <f aca="false">SUM(F$3:F$16)</f>
        <v>0</v>
      </c>
      <c r="G19" s="23" t="str">
        <f aca="false">IFERROR(F19/D19,"")</f>
        <v/>
      </c>
      <c r="H19" s="22" t="n">
        <f aca="false">SUM(H$3:H$16)</f>
        <v>0</v>
      </c>
      <c r="I19" s="22" t="n">
        <f aca="false">SUM(I$3:I$16)</f>
        <v>0</v>
      </c>
      <c r="J19" s="22" t="n">
        <f aca="false">SUM(F19,I19)</f>
        <v>0</v>
      </c>
      <c r="K19" s="22" t="n">
        <f aca="false">SUM(K$3:K$16)</f>
        <v>0</v>
      </c>
      <c r="L19" s="22" t="n">
        <f aca="false">SUM(L$3:L$16)</f>
        <v>0</v>
      </c>
      <c r="M19" s="23" t="str">
        <f aca="false">IFERROR(L19/D19,"")</f>
        <v/>
      </c>
      <c r="N19" s="22" t="n">
        <f aca="false">SUM(N$3:N$16)</f>
        <v>0</v>
      </c>
      <c r="O19" s="22" t="n">
        <f aca="false">SUM(O$3:O$16)</f>
        <v>0</v>
      </c>
      <c r="P19" s="22" t="n">
        <f aca="false">SUM(L19,O19)</f>
        <v>0</v>
      </c>
    </row>
  </sheetData>
  <sheetProtection sheet="true" formatColumns="false" formatRows="false"/>
  <mergeCells count="2">
    <mergeCell ref="E1:J1"/>
    <mergeCell ref="K1:P1"/>
  </mergeCells>
  <conditionalFormatting sqref="B3:B16">
    <cfRule type="expression" priority="2" aboveAverage="0" equalAverage="0" bottom="0" percent="0" rank="0" text="" dxfId="0">
      <formula>AND($A3&lt;&gt;"",$B3="")</formula>
    </cfRule>
  </conditionalFormatting>
  <conditionalFormatting sqref="E3:E16">
    <cfRule type="expression" priority="3" aboveAverage="0" equalAverage="0" bottom="0" percent="0" rank="0" text="" dxfId="0">
      <formula>AND(E3&lt;&gt;"",E3&gt;$D3)</formula>
    </cfRule>
  </conditionalFormatting>
  <conditionalFormatting sqref="F3:F16">
    <cfRule type="expression" priority="4" aboveAverage="0" equalAverage="0" bottom="0" percent="0" rank="0" text="" dxfId="0">
      <formula>AND(F3&lt;&gt;"",F3&gt;$D3)</formula>
    </cfRule>
  </conditionalFormatting>
  <conditionalFormatting sqref="H3:H16">
    <cfRule type="expression" priority="5" aboveAverage="0" equalAverage="0" bottom="0" percent="0" rank="0" text="" dxfId="0">
      <formula>AND(H3&lt;&gt;"",H3&gt;$C3)</formula>
    </cfRule>
  </conditionalFormatting>
  <conditionalFormatting sqref="I3:I16">
    <cfRule type="expression" priority="6" aboveAverage="0" equalAverage="0" bottom="0" percent="0" rank="0" text="" dxfId="0">
      <formula>AND(I3&lt;&gt;"",I3&gt;$C3)</formula>
    </cfRule>
  </conditionalFormatting>
  <conditionalFormatting sqref="K3:K16">
    <cfRule type="expression" priority="7" aboveAverage="0" equalAverage="0" bottom="0" percent="0" rank="0" text="" dxfId="0">
      <formula>AND(K3&lt;&gt;"",K3&gt;$D3)</formula>
    </cfRule>
  </conditionalFormatting>
  <conditionalFormatting sqref="L3:L16">
    <cfRule type="expression" priority="8" aboveAverage="0" equalAverage="0" bottom="0" percent="0" rank="0" text="" dxfId="0">
      <formula>AND(L3&lt;&gt;"",L3&gt;$D3)</formula>
    </cfRule>
  </conditionalFormatting>
  <conditionalFormatting sqref="N3:N16">
    <cfRule type="expression" priority="9" aboveAverage="0" equalAverage="0" bottom="0" percent="0" rank="0" text="" dxfId="0">
      <formula>AND(N3&lt;&gt;"",N3&gt;$C3)</formula>
    </cfRule>
  </conditionalFormatting>
  <conditionalFormatting sqref="O3:O16">
    <cfRule type="expression" priority="10" aboveAverage="0" equalAverage="0" bottom="0" percent="0" rank="0" text="" dxfId="0">
      <formula>AND(O3&lt;&gt;"",O3&gt;$C3)</formula>
    </cfRule>
  </conditionalFormatting>
  <dataValidations count="1">
    <dataValidation allowBlank="true" error="Escolher: ERPI, CD, Lar Residencial ou UCCI" errorStyle="stop" errorTitle="Tipologia inválida" operator="between" showDropDown="false" showErrorMessage="true" showInputMessage="false" sqref="B3:B16" type="list">
      <formula1>"ERPI,CD,Lar Residencial,UCCI"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19" min="3" style="0" width="13"/>
  </cols>
  <sheetData>
    <row r="1" customFormat="false" ht="15" hidden="false" customHeight="true" outlineLevel="0" collapsed="false">
      <c r="F1" s="7" t="s">
        <v>24</v>
      </c>
      <c r="G1" s="7"/>
      <c r="H1" s="7"/>
      <c r="I1" s="7"/>
      <c r="J1" s="7"/>
      <c r="K1" s="7"/>
      <c r="L1" s="7"/>
      <c r="M1" s="8" t="s">
        <v>25</v>
      </c>
      <c r="N1" s="8"/>
      <c r="O1" s="8"/>
      <c r="P1" s="8"/>
      <c r="Q1" s="8"/>
      <c r="R1" s="8"/>
      <c r="S1" s="8"/>
    </row>
    <row r="2" customFormat="false" ht="35.05" hidden="false" customHeight="false" outlineLevel="0" collapsed="false">
      <c r="A2" s="4" t="s">
        <v>220</v>
      </c>
      <c r="B2" s="4" t="s">
        <v>221</v>
      </c>
      <c r="C2" s="4" t="s">
        <v>222</v>
      </c>
      <c r="D2" s="4" t="s">
        <v>19</v>
      </c>
      <c r="E2" s="4" t="s">
        <v>27</v>
      </c>
      <c r="F2" s="9" t="s">
        <v>28</v>
      </c>
      <c r="G2" s="9" t="s">
        <v>29</v>
      </c>
      <c r="H2" s="9" t="s">
        <v>30</v>
      </c>
      <c r="I2" s="9" t="s">
        <v>31</v>
      </c>
      <c r="J2" s="9" t="s">
        <v>32</v>
      </c>
      <c r="K2" s="9" t="s">
        <v>223</v>
      </c>
      <c r="L2" s="9" t="s">
        <v>33</v>
      </c>
      <c r="M2" s="10" t="s">
        <v>28</v>
      </c>
      <c r="N2" s="10" t="s">
        <v>29</v>
      </c>
      <c r="O2" s="10" t="s">
        <v>30</v>
      </c>
      <c r="P2" s="10" t="s">
        <v>31</v>
      </c>
      <c r="Q2" s="10" t="s">
        <v>32</v>
      </c>
      <c r="R2" s="10" t="s">
        <v>223</v>
      </c>
      <c r="S2" s="10" t="s">
        <v>33</v>
      </c>
    </row>
    <row r="3" customFormat="false" ht="15" hidden="false" customHeight="false" outlineLevel="0" collapsed="false">
      <c r="A3" s="24" t="s">
        <v>224</v>
      </c>
      <c r="B3" s="25" t="s">
        <v>23</v>
      </c>
      <c r="C3" s="25" t="n">
        <f aca="false">COUNTIFS(Águeda!$B$3:$B$42,"ERPI")</f>
        <v>16</v>
      </c>
      <c r="D3" s="25" t="n">
        <f aca="false">Águeda!D43</f>
        <v>0</v>
      </c>
      <c r="E3" s="25" t="n">
        <f aca="false">Águeda!C43</f>
        <v>0</v>
      </c>
      <c r="F3" s="25" t="n">
        <f aca="false">Águeda!E43</f>
        <v>0</v>
      </c>
      <c r="G3" s="25" t="n">
        <f aca="false">Águeda!F43</f>
        <v>0</v>
      </c>
      <c r="H3" s="26" t="str">
        <f aca="false">IFERROR(G3/D3,"")</f>
        <v/>
      </c>
      <c r="I3" s="25" t="n">
        <f aca="false">Águeda!H43</f>
        <v>0</v>
      </c>
      <c r="J3" s="25" t="n">
        <f aca="false">Águeda!I43</f>
        <v>0</v>
      </c>
      <c r="K3" s="26" t="str">
        <f aca="false">IFERROR(J3/E3,"")</f>
        <v/>
      </c>
      <c r="L3" s="25" t="n">
        <f aca="false">SUM(G3,J3)</f>
        <v>0</v>
      </c>
      <c r="M3" s="25" t="n">
        <f aca="false">Águeda!K43</f>
        <v>0</v>
      </c>
      <c r="N3" s="25" t="n">
        <f aca="false">Águeda!L43</f>
        <v>0</v>
      </c>
      <c r="O3" s="26" t="str">
        <f aca="false">IFERROR(N3/D3,"")</f>
        <v/>
      </c>
      <c r="P3" s="25" t="n">
        <f aca="false">Águeda!N43</f>
        <v>0</v>
      </c>
      <c r="Q3" s="25" t="n">
        <f aca="false">Águeda!O43</f>
        <v>0</v>
      </c>
      <c r="R3" s="26" t="str">
        <f aca="false">IFERROR(Q3/E3,"")</f>
        <v/>
      </c>
      <c r="S3" s="25" t="n">
        <f aca="false">SUM(N3,Q3)</f>
        <v>0</v>
      </c>
    </row>
    <row r="4" customFormat="false" ht="15" hidden="false" customHeight="false" outlineLevel="0" collapsed="false">
      <c r="A4" s="27"/>
      <c r="B4" s="28" t="s">
        <v>225</v>
      </c>
      <c r="C4" s="28" t="n">
        <f aca="false">COUNTA(Águeda!$A$3:$A$42)-COUNTIF(Águeda!$B$3:$B$42,"ERPI")</f>
        <v>20</v>
      </c>
      <c r="D4" s="28" t="n">
        <f aca="false">Águeda!D44</f>
        <v>0</v>
      </c>
      <c r="E4" s="28" t="n">
        <f aca="false">Águeda!C44</f>
        <v>0</v>
      </c>
      <c r="F4" s="28" t="n">
        <f aca="false">Águeda!E44</f>
        <v>0</v>
      </c>
      <c r="G4" s="28" t="n">
        <f aca="false">Águeda!F44</f>
        <v>0</v>
      </c>
      <c r="H4" s="29" t="str">
        <f aca="false">IFERROR(G4/D4,"")</f>
        <v/>
      </c>
      <c r="I4" s="28" t="n">
        <f aca="false">Águeda!H44</f>
        <v>0</v>
      </c>
      <c r="J4" s="28" t="n">
        <f aca="false">Águeda!I44</f>
        <v>0</v>
      </c>
      <c r="K4" s="29" t="str">
        <f aca="false">IFERROR(J4/E4,"")</f>
        <v/>
      </c>
      <c r="L4" s="28" t="n">
        <f aca="false">SUM(G4,J4)</f>
        <v>0</v>
      </c>
      <c r="M4" s="28" t="n">
        <f aca="false">Águeda!K44</f>
        <v>0</v>
      </c>
      <c r="N4" s="28" t="n">
        <f aca="false">Águeda!L44</f>
        <v>0</v>
      </c>
      <c r="O4" s="29" t="str">
        <f aca="false">IFERROR(N4/D4,"")</f>
        <v/>
      </c>
      <c r="P4" s="28" t="n">
        <f aca="false">Águeda!N44</f>
        <v>0</v>
      </c>
      <c r="Q4" s="28" t="n">
        <f aca="false">Águeda!O44</f>
        <v>0</v>
      </c>
      <c r="R4" s="29" t="str">
        <f aca="false">IFERROR(Q4/E4,"")</f>
        <v/>
      </c>
      <c r="S4" s="28" t="n">
        <f aca="false">SUM(N4,Q4)</f>
        <v>0</v>
      </c>
    </row>
    <row r="5" customFormat="false" ht="15" hidden="false" customHeight="false" outlineLevel="0" collapsed="false">
      <c r="A5" s="21"/>
      <c r="B5" s="22" t="s">
        <v>226</v>
      </c>
      <c r="C5" s="22" t="n">
        <f aca="false">SUM(C3:C4)</f>
        <v>36</v>
      </c>
      <c r="D5" s="22" t="n">
        <f aca="false">Águeda!D45</f>
        <v>0</v>
      </c>
      <c r="E5" s="22" t="n">
        <f aca="false">Águeda!C45</f>
        <v>0</v>
      </c>
      <c r="F5" s="22" t="n">
        <f aca="false">Águeda!E45</f>
        <v>0</v>
      </c>
      <c r="G5" s="22" t="n">
        <f aca="false">Águeda!F45</f>
        <v>0</v>
      </c>
      <c r="H5" s="23" t="str">
        <f aca="false">IFERROR(G5/D5,"")</f>
        <v/>
      </c>
      <c r="I5" s="22" t="n">
        <f aca="false">Águeda!H45</f>
        <v>0</v>
      </c>
      <c r="J5" s="22" t="n">
        <f aca="false">Águeda!I45</f>
        <v>0</v>
      </c>
      <c r="K5" s="23" t="str">
        <f aca="false">IFERROR(J5/E5,"")</f>
        <v/>
      </c>
      <c r="L5" s="22" t="n">
        <f aca="false">SUM(G5,J5)</f>
        <v>0</v>
      </c>
      <c r="M5" s="22" t="n">
        <f aca="false">Águeda!K45</f>
        <v>0</v>
      </c>
      <c r="N5" s="22" t="n">
        <f aca="false">Águeda!L45</f>
        <v>0</v>
      </c>
      <c r="O5" s="23" t="str">
        <f aca="false">IFERROR(N5/D5,"")</f>
        <v/>
      </c>
      <c r="P5" s="22" t="n">
        <f aca="false">Águeda!N45</f>
        <v>0</v>
      </c>
      <c r="Q5" s="22" t="n">
        <f aca="false">Águeda!O45</f>
        <v>0</v>
      </c>
      <c r="R5" s="23" t="str">
        <f aca="false">IFERROR(Q5/E5,"")</f>
        <v/>
      </c>
      <c r="S5" s="22" t="n">
        <f aca="false">SUM(N5,Q5)</f>
        <v>0</v>
      </c>
    </row>
    <row r="6" customFormat="false" ht="15" hidden="false" customHeight="false" outlineLevel="0" collapsed="false">
      <c r="A6" s="24" t="s">
        <v>227</v>
      </c>
      <c r="B6" s="25" t="s">
        <v>23</v>
      </c>
      <c r="C6" s="25" t="n">
        <f aca="false">COUNTIFS('Albergaria-A-Velha'!$B$3:$B$20,"ERPI")</f>
        <v>6</v>
      </c>
      <c r="D6" s="25" t="n">
        <f aca="false">'Albergaria-A-Velha'!D21</f>
        <v>0</v>
      </c>
      <c r="E6" s="25" t="n">
        <f aca="false">'Albergaria-A-Velha'!C21</f>
        <v>0</v>
      </c>
      <c r="F6" s="25" t="n">
        <f aca="false">'Albergaria-A-Velha'!E21</f>
        <v>0</v>
      </c>
      <c r="G6" s="25" t="n">
        <f aca="false">'Albergaria-A-Velha'!F21</f>
        <v>0</v>
      </c>
      <c r="H6" s="26" t="str">
        <f aca="false">IFERROR(G6/D6,"")</f>
        <v/>
      </c>
      <c r="I6" s="25" t="n">
        <f aca="false">'Albergaria-A-Velha'!H21</f>
        <v>0</v>
      </c>
      <c r="J6" s="25" t="n">
        <f aca="false">'Albergaria-A-Velha'!I21</f>
        <v>0</v>
      </c>
      <c r="K6" s="26" t="str">
        <f aca="false">IFERROR(J6/E6,"")</f>
        <v/>
      </c>
      <c r="L6" s="25" t="n">
        <f aca="false">SUM(G6,J6)</f>
        <v>0</v>
      </c>
      <c r="M6" s="25" t="n">
        <f aca="false">'Albergaria-A-Velha'!K21</f>
        <v>0</v>
      </c>
      <c r="N6" s="25" t="n">
        <f aca="false">'Albergaria-A-Velha'!L21</f>
        <v>0</v>
      </c>
      <c r="O6" s="26" t="str">
        <f aca="false">IFERROR(N6/D6,"")</f>
        <v/>
      </c>
      <c r="P6" s="25" t="n">
        <f aca="false">'Albergaria-A-Velha'!N21</f>
        <v>0</v>
      </c>
      <c r="Q6" s="25" t="n">
        <f aca="false">'Albergaria-A-Velha'!O21</f>
        <v>0</v>
      </c>
      <c r="R6" s="26" t="str">
        <f aca="false">IFERROR(Q6/E6,"")</f>
        <v/>
      </c>
      <c r="S6" s="25" t="n">
        <f aca="false">SUM(N6,Q6)</f>
        <v>0</v>
      </c>
    </row>
    <row r="7" customFormat="false" ht="15" hidden="false" customHeight="false" outlineLevel="0" collapsed="false">
      <c r="A7" s="27"/>
      <c r="B7" s="28" t="s">
        <v>225</v>
      </c>
      <c r="C7" s="28" t="n">
        <f aca="false">COUNTA('Albergaria-A-Velha'!$A$3:$A$20)-COUNTIF('Albergaria-A-Velha'!$B$3:$B$20,"ERPI")</f>
        <v>8</v>
      </c>
      <c r="D7" s="28" t="n">
        <f aca="false">'Albergaria-A-Velha'!D22</f>
        <v>0</v>
      </c>
      <c r="E7" s="28" t="n">
        <f aca="false">'Albergaria-A-Velha'!C22</f>
        <v>0</v>
      </c>
      <c r="F7" s="28" t="n">
        <f aca="false">'Albergaria-A-Velha'!E22</f>
        <v>0</v>
      </c>
      <c r="G7" s="28" t="n">
        <f aca="false">'Albergaria-A-Velha'!F22</f>
        <v>0</v>
      </c>
      <c r="H7" s="29" t="str">
        <f aca="false">IFERROR(G7/D7,"")</f>
        <v/>
      </c>
      <c r="I7" s="28" t="n">
        <f aca="false">'Albergaria-A-Velha'!H22</f>
        <v>0</v>
      </c>
      <c r="J7" s="28" t="n">
        <f aca="false">'Albergaria-A-Velha'!I22</f>
        <v>0</v>
      </c>
      <c r="K7" s="29" t="str">
        <f aca="false">IFERROR(J7/E7,"")</f>
        <v/>
      </c>
      <c r="L7" s="28" t="n">
        <f aca="false">SUM(G7,J7)</f>
        <v>0</v>
      </c>
      <c r="M7" s="28" t="n">
        <f aca="false">'Albergaria-A-Velha'!K22</f>
        <v>0</v>
      </c>
      <c r="N7" s="28" t="n">
        <f aca="false">'Albergaria-A-Velha'!L22</f>
        <v>0</v>
      </c>
      <c r="O7" s="29" t="str">
        <f aca="false">IFERROR(N7/D7,"")</f>
        <v/>
      </c>
      <c r="P7" s="28" t="n">
        <f aca="false">'Albergaria-A-Velha'!N22</f>
        <v>0</v>
      </c>
      <c r="Q7" s="28" t="n">
        <f aca="false">'Albergaria-A-Velha'!O22</f>
        <v>0</v>
      </c>
      <c r="R7" s="29" t="str">
        <f aca="false">IFERROR(Q7/E7,"")</f>
        <v/>
      </c>
      <c r="S7" s="28" t="n">
        <f aca="false">SUM(N7,Q7)</f>
        <v>0</v>
      </c>
    </row>
    <row r="8" customFormat="false" ht="15" hidden="false" customHeight="false" outlineLevel="0" collapsed="false">
      <c r="A8" s="21"/>
      <c r="B8" s="22" t="s">
        <v>226</v>
      </c>
      <c r="C8" s="22" t="n">
        <f aca="false">SUM(C6:C7)</f>
        <v>14</v>
      </c>
      <c r="D8" s="22" t="n">
        <f aca="false">'Albergaria-A-Velha'!D23</f>
        <v>0</v>
      </c>
      <c r="E8" s="22" t="n">
        <f aca="false">'Albergaria-A-Velha'!C23</f>
        <v>0</v>
      </c>
      <c r="F8" s="22" t="n">
        <f aca="false">'Albergaria-A-Velha'!E23</f>
        <v>0</v>
      </c>
      <c r="G8" s="22" t="n">
        <f aca="false">'Albergaria-A-Velha'!F23</f>
        <v>0</v>
      </c>
      <c r="H8" s="23" t="str">
        <f aca="false">IFERROR(G8/D8,"")</f>
        <v/>
      </c>
      <c r="I8" s="22" t="n">
        <f aca="false">'Albergaria-A-Velha'!H23</f>
        <v>0</v>
      </c>
      <c r="J8" s="22" t="n">
        <f aca="false">'Albergaria-A-Velha'!I23</f>
        <v>0</v>
      </c>
      <c r="K8" s="23" t="str">
        <f aca="false">IFERROR(J8/E8,"")</f>
        <v/>
      </c>
      <c r="L8" s="22" t="n">
        <f aca="false">SUM(G8,J8)</f>
        <v>0</v>
      </c>
      <c r="M8" s="22" t="n">
        <f aca="false">'Albergaria-A-Velha'!K23</f>
        <v>0</v>
      </c>
      <c r="N8" s="22" t="n">
        <f aca="false">'Albergaria-A-Velha'!L23</f>
        <v>0</v>
      </c>
      <c r="O8" s="23" t="str">
        <f aca="false">IFERROR(N8/D8,"")</f>
        <v/>
      </c>
      <c r="P8" s="22" t="n">
        <f aca="false">'Albergaria-A-Velha'!N23</f>
        <v>0</v>
      </c>
      <c r="Q8" s="22" t="n">
        <f aca="false">'Albergaria-A-Velha'!O23</f>
        <v>0</v>
      </c>
      <c r="R8" s="23" t="str">
        <f aca="false">IFERROR(Q8/E8,"")</f>
        <v/>
      </c>
      <c r="S8" s="22" t="n">
        <f aca="false">SUM(N8,Q8)</f>
        <v>0</v>
      </c>
    </row>
    <row r="9" customFormat="false" ht="15" hidden="false" customHeight="false" outlineLevel="0" collapsed="false">
      <c r="A9" s="24" t="s">
        <v>228</v>
      </c>
      <c r="B9" s="25" t="s">
        <v>23</v>
      </c>
      <c r="C9" s="25" t="n">
        <f aca="false">COUNTIFS(Anadia!$B$3:$B$32,"ERPI")</f>
        <v>10</v>
      </c>
      <c r="D9" s="25" t="n">
        <f aca="false">Anadia!D33</f>
        <v>0</v>
      </c>
      <c r="E9" s="25" t="n">
        <f aca="false">Anadia!C33</f>
        <v>0</v>
      </c>
      <c r="F9" s="25" t="n">
        <f aca="false">Anadia!E33</f>
        <v>0</v>
      </c>
      <c r="G9" s="25" t="n">
        <f aca="false">Anadia!F33</f>
        <v>0</v>
      </c>
      <c r="H9" s="26" t="str">
        <f aca="false">IFERROR(G9/D9,"")</f>
        <v/>
      </c>
      <c r="I9" s="25" t="n">
        <f aca="false">Anadia!H33</f>
        <v>0</v>
      </c>
      <c r="J9" s="25" t="n">
        <f aca="false">Anadia!I33</f>
        <v>0</v>
      </c>
      <c r="K9" s="26" t="str">
        <f aca="false">IFERROR(J9/E9,"")</f>
        <v/>
      </c>
      <c r="L9" s="25" t="n">
        <f aca="false">SUM(G9,J9)</f>
        <v>0</v>
      </c>
      <c r="M9" s="25" t="n">
        <f aca="false">Anadia!K33</f>
        <v>0</v>
      </c>
      <c r="N9" s="25" t="n">
        <f aca="false">Anadia!L33</f>
        <v>0</v>
      </c>
      <c r="O9" s="26" t="str">
        <f aca="false">IFERROR(N9/D9,"")</f>
        <v/>
      </c>
      <c r="P9" s="25" t="n">
        <f aca="false">Anadia!N33</f>
        <v>0</v>
      </c>
      <c r="Q9" s="25" t="n">
        <f aca="false">Anadia!O33</f>
        <v>0</v>
      </c>
      <c r="R9" s="26" t="str">
        <f aca="false">IFERROR(Q9/E9,"")</f>
        <v/>
      </c>
      <c r="S9" s="25" t="n">
        <f aca="false">SUM(N9,Q9)</f>
        <v>0</v>
      </c>
    </row>
    <row r="10" customFormat="false" ht="15" hidden="false" customHeight="false" outlineLevel="0" collapsed="false">
      <c r="A10" s="27"/>
      <c r="B10" s="28" t="s">
        <v>225</v>
      </c>
      <c r="C10" s="28" t="n">
        <f aca="false">COUNTA(Anadia!$A$3:$A$32)-COUNTIF(Anadia!$B$3:$B$32,"ERPI")</f>
        <v>16</v>
      </c>
      <c r="D10" s="28" t="n">
        <f aca="false">Anadia!D34</f>
        <v>0</v>
      </c>
      <c r="E10" s="28" t="n">
        <f aca="false">Anadia!C34</f>
        <v>0</v>
      </c>
      <c r="F10" s="28" t="n">
        <f aca="false">Anadia!E34</f>
        <v>0</v>
      </c>
      <c r="G10" s="28" t="n">
        <f aca="false">Anadia!F34</f>
        <v>0</v>
      </c>
      <c r="H10" s="29" t="str">
        <f aca="false">IFERROR(G10/D10,"")</f>
        <v/>
      </c>
      <c r="I10" s="28" t="n">
        <f aca="false">Anadia!H34</f>
        <v>0</v>
      </c>
      <c r="J10" s="28" t="n">
        <f aca="false">Anadia!I34</f>
        <v>0</v>
      </c>
      <c r="K10" s="29" t="str">
        <f aca="false">IFERROR(J10/E10,"")</f>
        <v/>
      </c>
      <c r="L10" s="28" t="n">
        <f aca="false">SUM(G10,J10)</f>
        <v>0</v>
      </c>
      <c r="M10" s="28" t="n">
        <f aca="false">Anadia!K34</f>
        <v>0</v>
      </c>
      <c r="N10" s="28" t="n">
        <f aca="false">Anadia!L34</f>
        <v>0</v>
      </c>
      <c r="O10" s="29" t="str">
        <f aca="false">IFERROR(N10/D10,"")</f>
        <v/>
      </c>
      <c r="P10" s="28" t="n">
        <f aca="false">Anadia!N34</f>
        <v>0</v>
      </c>
      <c r="Q10" s="28" t="n">
        <f aca="false">Anadia!O34</f>
        <v>0</v>
      </c>
      <c r="R10" s="29" t="str">
        <f aca="false">IFERROR(Q10/E10,"")</f>
        <v/>
      </c>
      <c r="S10" s="28" t="n">
        <f aca="false">SUM(N10,Q10)</f>
        <v>0</v>
      </c>
    </row>
    <row r="11" customFormat="false" ht="15" hidden="false" customHeight="false" outlineLevel="0" collapsed="false">
      <c r="A11" s="21"/>
      <c r="B11" s="22" t="s">
        <v>226</v>
      </c>
      <c r="C11" s="22" t="n">
        <f aca="false">SUM(C9:C10)</f>
        <v>26</v>
      </c>
      <c r="D11" s="22" t="n">
        <f aca="false">Anadia!D35</f>
        <v>0</v>
      </c>
      <c r="E11" s="22" t="n">
        <f aca="false">Anadia!C35</f>
        <v>0</v>
      </c>
      <c r="F11" s="22" t="n">
        <f aca="false">Anadia!E35</f>
        <v>0</v>
      </c>
      <c r="G11" s="22" t="n">
        <f aca="false">Anadia!F35</f>
        <v>0</v>
      </c>
      <c r="H11" s="23" t="str">
        <f aca="false">IFERROR(G11/D11,"")</f>
        <v/>
      </c>
      <c r="I11" s="22" t="n">
        <f aca="false">Anadia!H35</f>
        <v>0</v>
      </c>
      <c r="J11" s="22" t="n">
        <f aca="false">Anadia!I35</f>
        <v>0</v>
      </c>
      <c r="K11" s="23" t="str">
        <f aca="false">IFERROR(J11/E11,"")</f>
        <v/>
      </c>
      <c r="L11" s="22" t="n">
        <f aca="false">SUM(G11,J11)</f>
        <v>0</v>
      </c>
      <c r="M11" s="22" t="n">
        <f aca="false">Anadia!K35</f>
        <v>0</v>
      </c>
      <c r="N11" s="22" t="n">
        <f aca="false">Anadia!L35</f>
        <v>0</v>
      </c>
      <c r="O11" s="23" t="str">
        <f aca="false">IFERROR(N11/D11,"")</f>
        <v/>
      </c>
      <c r="P11" s="22" t="n">
        <f aca="false">Anadia!N35</f>
        <v>0</v>
      </c>
      <c r="Q11" s="22" t="n">
        <f aca="false">Anadia!O35</f>
        <v>0</v>
      </c>
      <c r="R11" s="23" t="str">
        <f aca="false">IFERROR(Q11/E11,"")</f>
        <v/>
      </c>
      <c r="S11" s="22" t="n">
        <f aca="false">SUM(N11,Q11)</f>
        <v>0</v>
      </c>
    </row>
    <row r="12" customFormat="false" ht="15" hidden="false" customHeight="false" outlineLevel="0" collapsed="false">
      <c r="A12" s="24" t="s">
        <v>229</v>
      </c>
      <c r="B12" s="25" t="s">
        <v>23</v>
      </c>
      <c r="C12" s="25" t="n">
        <f aca="false">COUNTIFS(Aveiro!$B$3:$B$42,"ERPI")</f>
        <v>16</v>
      </c>
      <c r="D12" s="25" t="n">
        <f aca="false">Aveiro!D43</f>
        <v>0</v>
      </c>
      <c r="E12" s="25" t="n">
        <f aca="false">Aveiro!C43</f>
        <v>0</v>
      </c>
      <c r="F12" s="25" t="n">
        <f aca="false">Aveiro!E43</f>
        <v>0</v>
      </c>
      <c r="G12" s="25" t="n">
        <f aca="false">Aveiro!F43</f>
        <v>0</v>
      </c>
      <c r="H12" s="26" t="str">
        <f aca="false">IFERROR(G12/D12,"")</f>
        <v/>
      </c>
      <c r="I12" s="25" t="n">
        <f aca="false">Aveiro!H43</f>
        <v>0</v>
      </c>
      <c r="J12" s="25" t="n">
        <f aca="false">Aveiro!I43</f>
        <v>0</v>
      </c>
      <c r="K12" s="26" t="str">
        <f aca="false">IFERROR(J12/E12,"")</f>
        <v/>
      </c>
      <c r="L12" s="25" t="n">
        <f aca="false">SUM(G12,J12)</f>
        <v>0</v>
      </c>
      <c r="M12" s="25" t="n">
        <f aca="false">Aveiro!K43</f>
        <v>0</v>
      </c>
      <c r="N12" s="25" t="n">
        <f aca="false">Aveiro!L43</f>
        <v>0</v>
      </c>
      <c r="O12" s="26" t="str">
        <f aca="false">IFERROR(N12/D12,"")</f>
        <v/>
      </c>
      <c r="P12" s="25" t="n">
        <f aca="false">Aveiro!N43</f>
        <v>0</v>
      </c>
      <c r="Q12" s="25" t="n">
        <f aca="false">Aveiro!O43</f>
        <v>0</v>
      </c>
      <c r="R12" s="26" t="str">
        <f aca="false">IFERROR(Q12/E12,"")</f>
        <v/>
      </c>
      <c r="S12" s="25" t="n">
        <f aca="false">SUM(N12,Q12)</f>
        <v>0</v>
      </c>
    </row>
    <row r="13" customFormat="false" ht="15" hidden="false" customHeight="false" outlineLevel="0" collapsed="false">
      <c r="A13" s="27"/>
      <c r="B13" s="28" t="s">
        <v>225</v>
      </c>
      <c r="C13" s="28" t="n">
        <f aca="false">COUNTA(Aveiro!$A$3:$A$42)-COUNTIF(Aveiro!$B$3:$B$42,"ERPI")</f>
        <v>20</v>
      </c>
      <c r="D13" s="28" t="n">
        <f aca="false">Aveiro!D44</f>
        <v>0</v>
      </c>
      <c r="E13" s="28" t="n">
        <f aca="false">Aveiro!C44</f>
        <v>0</v>
      </c>
      <c r="F13" s="28" t="n">
        <f aca="false">Aveiro!E44</f>
        <v>0</v>
      </c>
      <c r="G13" s="28" t="n">
        <f aca="false">Aveiro!F44</f>
        <v>0</v>
      </c>
      <c r="H13" s="29" t="str">
        <f aca="false">IFERROR(G13/D13,"")</f>
        <v/>
      </c>
      <c r="I13" s="28" t="n">
        <f aca="false">Aveiro!H44</f>
        <v>0</v>
      </c>
      <c r="J13" s="28" t="n">
        <f aca="false">Aveiro!I44</f>
        <v>0</v>
      </c>
      <c r="K13" s="29" t="str">
        <f aca="false">IFERROR(J13/E13,"")</f>
        <v/>
      </c>
      <c r="L13" s="28" t="n">
        <f aca="false">SUM(G13,J13)</f>
        <v>0</v>
      </c>
      <c r="M13" s="28" t="n">
        <f aca="false">Aveiro!K44</f>
        <v>0</v>
      </c>
      <c r="N13" s="28" t="n">
        <f aca="false">Aveiro!L44</f>
        <v>0</v>
      </c>
      <c r="O13" s="29" t="str">
        <f aca="false">IFERROR(N13/D13,"")</f>
        <v/>
      </c>
      <c r="P13" s="28" t="n">
        <f aca="false">Aveiro!N44</f>
        <v>0</v>
      </c>
      <c r="Q13" s="28" t="n">
        <f aca="false">Aveiro!O44</f>
        <v>0</v>
      </c>
      <c r="R13" s="29" t="str">
        <f aca="false">IFERROR(Q13/E13,"")</f>
        <v/>
      </c>
      <c r="S13" s="28" t="n">
        <f aca="false">SUM(N13,Q13)</f>
        <v>0</v>
      </c>
    </row>
    <row r="14" customFormat="false" ht="15" hidden="false" customHeight="false" outlineLevel="0" collapsed="false">
      <c r="A14" s="21"/>
      <c r="B14" s="22" t="s">
        <v>226</v>
      </c>
      <c r="C14" s="22" t="n">
        <f aca="false">SUM(C12:C13)</f>
        <v>36</v>
      </c>
      <c r="D14" s="22" t="n">
        <f aca="false">Aveiro!D45</f>
        <v>0</v>
      </c>
      <c r="E14" s="22" t="n">
        <f aca="false">Aveiro!C45</f>
        <v>0</v>
      </c>
      <c r="F14" s="22" t="n">
        <f aca="false">Aveiro!E45</f>
        <v>0</v>
      </c>
      <c r="G14" s="22" t="n">
        <f aca="false">Aveiro!F45</f>
        <v>0</v>
      </c>
      <c r="H14" s="23" t="str">
        <f aca="false">IFERROR(G14/D14,"")</f>
        <v/>
      </c>
      <c r="I14" s="22" t="n">
        <f aca="false">Aveiro!H45</f>
        <v>0</v>
      </c>
      <c r="J14" s="22" t="n">
        <f aca="false">Aveiro!I45</f>
        <v>0</v>
      </c>
      <c r="K14" s="23" t="str">
        <f aca="false">IFERROR(J14/E14,"")</f>
        <v/>
      </c>
      <c r="L14" s="22" t="n">
        <f aca="false">SUM(G14,J14)</f>
        <v>0</v>
      </c>
      <c r="M14" s="22" t="n">
        <f aca="false">Aveiro!K45</f>
        <v>0</v>
      </c>
      <c r="N14" s="22" t="n">
        <f aca="false">Aveiro!L45</f>
        <v>0</v>
      </c>
      <c r="O14" s="23" t="str">
        <f aca="false">IFERROR(N14/D14,"")</f>
        <v/>
      </c>
      <c r="P14" s="22" t="n">
        <f aca="false">Aveiro!N45</f>
        <v>0</v>
      </c>
      <c r="Q14" s="22" t="n">
        <f aca="false">Aveiro!O45</f>
        <v>0</v>
      </c>
      <c r="R14" s="23" t="str">
        <f aca="false">IFERROR(Q14/E14,"")</f>
        <v/>
      </c>
      <c r="S14" s="22" t="n">
        <f aca="false">SUM(N14,Q14)</f>
        <v>0</v>
      </c>
    </row>
    <row r="15" customFormat="false" ht="15" hidden="false" customHeight="false" outlineLevel="0" collapsed="false">
      <c r="A15" s="24" t="s">
        <v>230</v>
      </c>
      <c r="B15" s="25" t="s">
        <v>23</v>
      </c>
      <c r="C15" s="25" t="n">
        <f aca="false">COUNTIFS(Estarreja!$B$3:$B$22,"ERPI")</f>
        <v>8</v>
      </c>
      <c r="D15" s="25" t="n">
        <f aca="false">Estarreja!D23</f>
        <v>0</v>
      </c>
      <c r="E15" s="25" t="n">
        <f aca="false">Estarreja!C23</f>
        <v>0</v>
      </c>
      <c r="F15" s="25" t="n">
        <f aca="false">Estarreja!E23</f>
        <v>0</v>
      </c>
      <c r="G15" s="25" t="n">
        <f aca="false">Estarreja!F23</f>
        <v>0</v>
      </c>
      <c r="H15" s="26" t="str">
        <f aca="false">IFERROR(G15/D15,"")</f>
        <v/>
      </c>
      <c r="I15" s="25" t="n">
        <f aca="false">Estarreja!H23</f>
        <v>0</v>
      </c>
      <c r="J15" s="25" t="n">
        <f aca="false">Estarreja!I23</f>
        <v>0</v>
      </c>
      <c r="K15" s="26" t="str">
        <f aca="false">IFERROR(J15/E15,"")</f>
        <v/>
      </c>
      <c r="L15" s="25" t="n">
        <f aca="false">SUM(G15,J15)</f>
        <v>0</v>
      </c>
      <c r="M15" s="25" t="n">
        <f aca="false">Estarreja!K23</f>
        <v>0</v>
      </c>
      <c r="N15" s="25" t="n">
        <f aca="false">Estarreja!L23</f>
        <v>0</v>
      </c>
      <c r="O15" s="26" t="str">
        <f aca="false">IFERROR(N15/D15,"")</f>
        <v/>
      </c>
      <c r="P15" s="25" t="n">
        <f aca="false">Estarreja!N23</f>
        <v>0</v>
      </c>
      <c r="Q15" s="25" t="n">
        <f aca="false">Estarreja!O23</f>
        <v>0</v>
      </c>
      <c r="R15" s="26" t="str">
        <f aca="false">IFERROR(Q15/E15,"")</f>
        <v/>
      </c>
      <c r="S15" s="25" t="n">
        <f aca="false">SUM(N15,Q15)</f>
        <v>0</v>
      </c>
    </row>
    <row r="16" customFormat="false" ht="15" hidden="false" customHeight="false" outlineLevel="0" collapsed="false">
      <c r="A16" s="27"/>
      <c r="B16" s="28" t="s">
        <v>225</v>
      </c>
      <c r="C16" s="28" t="n">
        <f aca="false">COUNTA(Estarreja!$A$3:$A$22)-COUNTIF(Estarreja!$B$3:$B$22,"ERPI")</f>
        <v>8</v>
      </c>
      <c r="D16" s="28" t="n">
        <f aca="false">Estarreja!D24</f>
        <v>0</v>
      </c>
      <c r="E16" s="28" t="n">
        <f aca="false">Estarreja!C24</f>
        <v>0</v>
      </c>
      <c r="F16" s="28" t="n">
        <f aca="false">Estarreja!E24</f>
        <v>0</v>
      </c>
      <c r="G16" s="28" t="n">
        <f aca="false">Estarreja!F24</f>
        <v>0</v>
      </c>
      <c r="H16" s="29" t="str">
        <f aca="false">IFERROR(G16/D16,"")</f>
        <v/>
      </c>
      <c r="I16" s="28" t="n">
        <f aca="false">Estarreja!H24</f>
        <v>0</v>
      </c>
      <c r="J16" s="28" t="n">
        <f aca="false">Estarreja!I24</f>
        <v>0</v>
      </c>
      <c r="K16" s="29" t="str">
        <f aca="false">IFERROR(J16/E16,"")</f>
        <v/>
      </c>
      <c r="L16" s="28" t="n">
        <f aca="false">SUM(G16,J16)</f>
        <v>0</v>
      </c>
      <c r="M16" s="28" t="n">
        <f aca="false">Estarreja!K24</f>
        <v>0</v>
      </c>
      <c r="N16" s="28" t="n">
        <f aca="false">Estarreja!L24</f>
        <v>0</v>
      </c>
      <c r="O16" s="29" t="str">
        <f aca="false">IFERROR(N16/D16,"")</f>
        <v/>
      </c>
      <c r="P16" s="28" t="n">
        <f aca="false">Estarreja!N24</f>
        <v>0</v>
      </c>
      <c r="Q16" s="28" t="n">
        <f aca="false">Estarreja!O24</f>
        <v>0</v>
      </c>
      <c r="R16" s="29" t="str">
        <f aca="false">IFERROR(Q16/E16,"")</f>
        <v/>
      </c>
      <c r="S16" s="28" t="n">
        <f aca="false">SUM(N16,Q16)</f>
        <v>0</v>
      </c>
    </row>
    <row r="17" customFormat="false" ht="15" hidden="false" customHeight="false" outlineLevel="0" collapsed="false">
      <c r="A17" s="21"/>
      <c r="B17" s="22" t="s">
        <v>226</v>
      </c>
      <c r="C17" s="22" t="n">
        <f aca="false">SUM(C15:C16)</f>
        <v>16</v>
      </c>
      <c r="D17" s="22" t="n">
        <f aca="false">Estarreja!D25</f>
        <v>0</v>
      </c>
      <c r="E17" s="22" t="n">
        <f aca="false">Estarreja!C25</f>
        <v>0</v>
      </c>
      <c r="F17" s="22" t="n">
        <f aca="false">Estarreja!E25</f>
        <v>0</v>
      </c>
      <c r="G17" s="22" t="n">
        <f aca="false">Estarreja!F25</f>
        <v>0</v>
      </c>
      <c r="H17" s="23" t="str">
        <f aca="false">IFERROR(G17/D17,"")</f>
        <v/>
      </c>
      <c r="I17" s="22" t="n">
        <f aca="false">Estarreja!H25</f>
        <v>0</v>
      </c>
      <c r="J17" s="22" t="n">
        <f aca="false">Estarreja!I25</f>
        <v>0</v>
      </c>
      <c r="K17" s="23" t="str">
        <f aca="false">IFERROR(J17/E17,"")</f>
        <v/>
      </c>
      <c r="L17" s="22" t="n">
        <f aca="false">SUM(G17,J17)</f>
        <v>0</v>
      </c>
      <c r="M17" s="22" t="n">
        <f aca="false">Estarreja!K25</f>
        <v>0</v>
      </c>
      <c r="N17" s="22" t="n">
        <f aca="false">Estarreja!L25</f>
        <v>0</v>
      </c>
      <c r="O17" s="23" t="str">
        <f aca="false">IFERROR(N17/D17,"")</f>
        <v/>
      </c>
      <c r="P17" s="22" t="n">
        <f aca="false">Estarreja!N25</f>
        <v>0</v>
      </c>
      <c r="Q17" s="22" t="n">
        <f aca="false">Estarreja!O25</f>
        <v>0</v>
      </c>
      <c r="R17" s="23" t="str">
        <f aca="false">IFERROR(Q17/E17,"")</f>
        <v/>
      </c>
      <c r="S17" s="22" t="n">
        <f aca="false">SUM(N17,Q17)</f>
        <v>0</v>
      </c>
    </row>
    <row r="18" customFormat="false" ht="15" hidden="false" customHeight="false" outlineLevel="0" collapsed="false">
      <c r="A18" s="24" t="s">
        <v>231</v>
      </c>
      <c r="B18" s="25" t="s">
        <v>23</v>
      </c>
      <c r="C18" s="25" t="n">
        <f aca="false">COUNTIFS(Ílhavo!$B$3:$B$15,"ERPI")</f>
        <v>5</v>
      </c>
      <c r="D18" s="25" t="n">
        <f aca="false">Ílhavo!D16</f>
        <v>0</v>
      </c>
      <c r="E18" s="25" t="n">
        <f aca="false">Ílhavo!C16</f>
        <v>0</v>
      </c>
      <c r="F18" s="25" t="n">
        <f aca="false">Ílhavo!E16</f>
        <v>0</v>
      </c>
      <c r="G18" s="25" t="n">
        <f aca="false">Ílhavo!F16</f>
        <v>0</v>
      </c>
      <c r="H18" s="26" t="str">
        <f aca="false">IFERROR(G18/D18,"")</f>
        <v/>
      </c>
      <c r="I18" s="25" t="n">
        <f aca="false">Ílhavo!H16</f>
        <v>0</v>
      </c>
      <c r="J18" s="25" t="n">
        <f aca="false">Ílhavo!I16</f>
        <v>0</v>
      </c>
      <c r="K18" s="26" t="str">
        <f aca="false">IFERROR(J18/E18,"")</f>
        <v/>
      </c>
      <c r="L18" s="25" t="n">
        <f aca="false">SUM(G18,J18)</f>
        <v>0</v>
      </c>
      <c r="M18" s="25" t="n">
        <f aca="false">Ílhavo!K16</f>
        <v>0</v>
      </c>
      <c r="N18" s="25" t="n">
        <f aca="false">Ílhavo!L16</f>
        <v>0</v>
      </c>
      <c r="O18" s="26" t="str">
        <f aca="false">IFERROR(N18/D18,"")</f>
        <v/>
      </c>
      <c r="P18" s="25" t="n">
        <f aca="false">Ílhavo!N16</f>
        <v>0</v>
      </c>
      <c r="Q18" s="25" t="n">
        <f aca="false">Ílhavo!O16</f>
        <v>0</v>
      </c>
      <c r="R18" s="26" t="str">
        <f aca="false">IFERROR(Q18/E18,"")</f>
        <v/>
      </c>
      <c r="S18" s="25" t="n">
        <f aca="false">SUM(N18,Q18)</f>
        <v>0</v>
      </c>
    </row>
    <row r="19" customFormat="false" ht="15" hidden="false" customHeight="false" outlineLevel="0" collapsed="false">
      <c r="A19" s="27"/>
      <c r="B19" s="28" t="s">
        <v>225</v>
      </c>
      <c r="C19" s="28" t="n">
        <f aca="false">COUNTA(Ílhavo!$A$3:$A$15)-COUNTIF(Ílhavo!$B$3:$B$15,"ERPI")</f>
        <v>4</v>
      </c>
      <c r="D19" s="28" t="n">
        <f aca="false">Ílhavo!D17</f>
        <v>0</v>
      </c>
      <c r="E19" s="28" t="n">
        <f aca="false">Ílhavo!C17</f>
        <v>0</v>
      </c>
      <c r="F19" s="28" t="n">
        <f aca="false">Ílhavo!E17</f>
        <v>0</v>
      </c>
      <c r="G19" s="28" t="n">
        <f aca="false">Ílhavo!F17</f>
        <v>0</v>
      </c>
      <c r="H19" s="29" t="str">
        <f aca="false">IFERROR(G19/D19,"")</f>
        <v/>
      </c>
      <c r="I19" s="28" t="n">
        <f aca="false">Ílhavo!H17</f>
        <v>0</v>
      </c>
      <c r="J19" s="28" t="n">
        <f aca="false">Ílhavo!I17</f>
        <v>0</v>
      </c>
      <c r="K19" s="29" t="str">
        <f aca="false">IFERROR(J19/E19,"")</f>
        <v/>
      </c>
      <c r="L19" s="28" t="n">
        <f aca="false">SUM(G19,J19)</f>
        <v>0</v>
      </c>
      <c r="M19" s="28" t="n">
        <f aca="false">Ílhavo!K17</f>
        <v>0</v>
      </c>
      <c r="N19" s="28" t="n">
        <f aca="false">Ílhavo!L17</f>
        <v>0</v>
      </c>
      <c r="O19" s="29" t="str">
        <f aca="false">IFERROR(N19/D19,"")</f>
        <v/>
      </c>
      <c r="P19" s="28" t="n">
        <f aca="false">Ílhavo!N17</f>
        <v>0</v>
      </c>
      <c r="Q19" s="28" t="n">
        <f aca="false">Ílhavo!O17</f>
        <v>0</v>
      </c>
      <c r="R19" s="29" t="str">
        <f aca="false">IFERROR(Q19/E19,"")</f>
        <v/>
      </c>
      <c r="S19" s="28" t="n">
        <f aca="false">SUM(N19,Q19)</f>
        <v>0</v>
      </c>
    </row>
    <row r="20" customFormat="false" ht="15" hidden="false" customHeight="false" outlineLevel="0" collapsed="false">
      <c r="A20" s="21"/>
      <c r="B20" s="22" t="s">
        <v>226</v>
      </c>
      <c r="C20" s="22" t="n">
        <f aca="false">SUM(C18:C19)</f>
        <v>9</v>
      </c>
      <c r="D20" s="22" t="n">
        <f aca="false">Ílhavo!D18</f>
        <v>0</v>
      </c>
      <c r="E20" s="22" t="n">
        <f aca="false">Ílhavo!C18</f>
        <v>0</v>
      </c>
      <c r="F20" s="22" t="n">
        <f aca="false">Ílhavo!E18</f>
        <v>0</v>
      </c>
      <c r="G20" s="22" t="n">
        <f aca="false">Ílhavo!F18</f>
        <v>0</v>
      </c>
      <c r="H20" s="23" t="str">
        <f aca="false">IFERROR(G20/D20,"")</f>
        <v/>
      </c>
      <c r="I20" s="22" t="n">
        <f aca="false">Ílhavo!H18</f>
        <v>0</v>
      </c>
      <c r="J20" s="22" t="n">
        <f aca="false">Ílhavo!I18</f>
        <v>0</v>
      </c>
      <c r="K20" s="23" t="str">
        <f aca="false">IFERROR(J20/E20,"")</f>
        <v/>
      </c>
      <c r="L20" s="22" t="n">
        <f aca="false">SUM(G20,J20)</f>
        <v>0</v>
      </c>
      <c r="M20" s="22" t="n">
        <f aca="false">Ílhavo!K18</f>
        <v>0</v>
      </c>
      <c r="N20" s="22" t="n">
        <f aca="false">Ílhavo!L18</f>
        <v>0</v>
      </c>
      <c r="O20" s="23" t="str">
        <f aca="false">IFERROR(N20/D20,"")</f>
        <v/>
      </c>
      <c r="P20" s="22" t="n">
        <f aca="false">Ílhavo!N18</f>
        <v>0</v>
      </c>
      <c r="Q20" s="22" t="n">
        <f aca="false">Ílhavo!O18</f>
        <v>0</v>
      </c>
      <c r="R20" s="23" t="str">
        <f aca="false">IFERROR(Q20/E20,"")</f>
        <v/>
      </c>
      <c r="S20" s="22" t="n">
        <f aca="false">SUM(N20,Q20)</f>
        <v>0</v>
      </c>
    </row>
    <row r="21" customFormat="false" ht="15" hidden="false" customHeight="false" outlineLevel="0" collapsed="false">
      <c r="A21" s="24" t="s">
        <v>232</v>
      </c>
      <c r="B21" s="25" t="s">
        <v>23</v>
      </c>
      <c r="C21" s="25" t="n">
        <f aca="false">COUNTIFS(Murtosa!$B$3:$B$12,"ERPI")</f>
        <v>3</v>
      </c>
      <c r="D21" s="25" t="n">
        <f aca="false">Murtosa!D13</f>
        <v>0</v>
      </c>
      <c r="E21" s="25" t="n">
        <f aca="false">Murtosa!C13</f>
        <v>0</v>
      </c>
      <c r="F21" s="25" t="n">
        <f aca="false">Murtosa!E13</f>
        <v>0</v>
      </c>
      <c r="G21" s="25" t="n">
        <f aca="false">Murtosa!F13</f>
        <v>0</v>
      </c>
      <c r="H21" s="26" t="str">
        <f aca="false">IFERROR(G21/D21,"")</f>
        <v/>
      </c>
      <c r="I21" s="25" t="n">
        <f aca="false">Murtosa!H13</f>
        <v>0</v>
      </c>
      <c r="J21" s="25" t="n">
        <f aca="false">Murtosa!I13</f>
        <v>0</v>
      </c>
      <c r="K21" s="26" t="str">
        <f aca="false">IFERROR(J21/E21,"")</f>
        <v/>
      </c>
      <c r="L21" s="25" t="n">
        <f aca="false">SUM(G21,J21)</f>
        <v>0</v>
      </c>
      <c r="M21" s="25" t="n">
        <f aca="false">Murtosa!K13</f>
        <v>0</v>
      </c>
      <c r="N21" s="25" t="n">
        <f aca="false">Murtosa!L13</f>
        <v>0</v>
      </c>
      <c r="O21" s="26" t="str">
        <f aca="false">IFERROR(N21/D21,"")</f>
        <v/>
      </c>
      <c r="P21" s="25" t="n">
        <f aca="false">Murtosa!N13</f>
        <v>0</v>
      </c>
      <c r="Q21" s="25" t="n">
        <f aca="false">Murtosa!O13</f>
        <v>0</v>
      </c>
      <c r="R21" s="26" t="str">
        <f aca="false">IFERROR(Q21/E21,"")</f>
        <v/>
      </c>
      <c r="S21" s="25" t="n">
        <f aca="false">SUM(N21,Q21)</f>
        <v>0</v>
      </c>
    </row>
    <row r="22" customFormat="false" ht="15" hidden="false" customHeight="false" outlineLevel="0" collapsed="false">
      <c r="A22" s="27"/>
      <c r="B22" s="28" t="s">
        <v>225</v>
      </c>
      <c r="C22" s="28" t="n">
        <f aca="false">COUNTA(Murtosa!$A$3:$A$12)-COUNTIF(Murtosa!$B$3:$B$12,"ERPI")</f>
        <v>3</v>
      </c>
      <c r="D22" s="28" t="n">
        <f aca="false">Murtosa!D14</f>
        <v>0</v>
      </c>
      <c r="E22" s="28" t="n">
        <f aca="false">Murtosa!C14</f>
        <v>0</v>
      </c>
      <c r="F22" s="28" t="n">
        <f aca="false">Murtosa!E14</f>
        <v>0</v>
      </c>
      <c r="G22" s="28" t="n">
        <f aca="false">Murtosa!F14</f>
        <v>0</v>
      </c>
      <c r="H22" s="29" t="str">
        <f aca="false">IFERROR(G22/D22,"")</f>
        <v/>
      </c>
      <c r="I22" s="28" t="n">
        <f aca="false">Murtosa!H14</f>
        <v>0</v>
      </c>
      <c r="J22" s="28" t="n">
        <f aca="false">Murtosa!I14</f>
        <v>0</v>
      </c>
      <c r="K22" s="29" t="str">
        <f aca="false">IFERROR(J22/E22,"")</f>
        <v/>
      </c>
      <c r="L22" s="28" t="n">
        <f aca="false">SUM(G22,J22)</f>
        <v>0</v>
      </c>
      <c r="M22" s="28" t="n">
        <f aca="false">Murtosa!K14</f>
        <v>0</v>
      </c>
      <c r="N22" s="28" t="n">
        <f aca="false">Murtosa!L14</f>
        <v>0</v>
      </c>
      <c r="O22" s="29" t="str">
        <f aca="false">IFERROR(N22/D22,"")</f>
        <v/>
      </c>
      <c r="P22" s="28" t="n">
        <f aca="false">Murtosa!N14</f>
        <v>0</v>
      </c>
      <c r="Q22" s="28" t="n">
        <f aca="false">Murtosa!O14</f>
        <v>0</v>
      </c>
      <c r="R22" s="29" t="str">
        <f aca="false">IFERROR(Q22/E22,"")</f>
        <v/>
      </c>
      <c r="S22" s="28" t="n">
        <f aca="false">SUM(N22,Q22)</f>
        <v>0</v>
      </c>
    </row>
    <row r="23" customFormat="false" ht="15" hidden="false" customHeight="false" outlineLevel="0" collapsed="false">
      <c r="A23" s="21"/>
      <c r="B23" s="22" t="s">
        <v>226</v>
      </c>
      <c r="C23" s="22" t="n">
        <f aca="false">SUM(C21:C22)</f>
        <v>6</v>
      </c>
      <c r="D23" s="22" t="n">
        <f aca="false">Murtosa!D15</f>
        <v>0</v>
      </c>
      <c r="E23" s="22" t="n">
        <f aca="false">Murtosa!C15</f>
        <v>0</v>
      </c>
      <c r="F23" s="22" t="n">
        <f aca="false">Murtosa!E15</f>
        <v>0</v>
      </c>
      <c r="G23" s="22" t="n">
        <f aca="false">Murtosa!F15</f>
        <v>0</v>
      </c>
      <c r="H23" s="23" t="str">
        <f aca="false">IFERROR(G23/D23,"")</f>
        <v/>
      </c>
      <c r="I23" s="22" t="n">
        <f aca="false">Murtosa!H15</f>
        <v>0</v>
      </c>
      <c r="J23" s="22" t="n">
        <f aca="false">Murtosa!I15</f>
        <v>0</v>
      </c>
      <c r="K23" s="23" t="str">
        <f aca="false">IFERROR(J23/E23,"")</f>
        <v/>
      </c>
      <c r="L23" s="22" t="n">
        <f aca="false">SUM(G23,J23)</f>
        <v>0</v>
      </c>
      <c r="M23" s="22" t="n">
        <f aca="false">Murtosa!K15</f>
        <v>0</v>
      </c>
      <c r="N23" s="22" t="n">
        <f aca="false">Murtosa!L15</f>
        <v>0</v>
      </c>
      <c r="O23" s="23" t="str">
        <f aca="false">IFERROR(N23/D23,"")</f>
        <v/>
      </c>
      <c r="P23" s="22" t="n">
        <f aca="false">Murtosa!N15</f>
        <v>0</v>
      </c>
      <c r="Q23" s="22" t="n">
        <f aca="false">Murtosa!O15</f>
        <v>0</v>
      </c>
      <c r="R23" s="23" t="str">
        <f aca="false">IFERROR(Q23/E23,"")</f>
        <v/>
      </c>
      <c r="S23" s="22" t="n">
        <f aca="false">SUM(N23,Q23)</f>
        <v>0</v>
      </c>
    </row>
    <row r="24" customFormat="false" ht="15" hidden="false" customHeight="false" outlineLevel="0" collapsed="false">
      <c r="A24" s="24" t="s">
        <v>233</v>
      </c>
      <c r="B24" s="25" t="s">
        <v>23</v>
      </c>
      <c r="C24" s="25" t="n">
        <f aca="false">COUNTIFS('Oliveira do Bairro'!$B$3:$B$24,"ERPI")</f>
        <v>8</v>
      </c>
      <c r="D24" s="25" t="n">
        <f aca="false">'Oliveira do Bairro'!D25</f>
        <v>0</v>
      </c>
      <c r="E24" s="25" t="n">
        <f aca="false">'Oliveira do Bairro'!C25</f>
        <v>0</v>
      </c>
      <c r="F24" s="25" t="n">
        <f aca="false">'Oliveira do Bairro'!E25</f>
        <v>0</v>
      </c>
      <c r="G24" s="25" t="n">
        <f aca="false">'Oliveira do Bairro'!F25</f>
        <v>0</v>
      </c>
      <c r="H24" s="26" t="str">
        <f aca="false">IFERROR(G24/D24,"")</f>
        <v/>
      </c>
      <c r="I24" s="25" t="n">
        <f aca="false">'Oliveira do Bairro'!H25</f>
        <v>0</v>
      </c>
      <c r="J24" s="25" t="n">
        <f aca="false">'Oliveira do Bairro'!I25</f>
        <v>0</v>
      </c>
      <c r="K24" s="26" t="str">
        <f aca="false">IFERROR(J24/E24,"")</f>
        <v/>
      </c>
      <c r="L24" s="25" t="n">
        <f aca="false">SUM(G24,J24)</f>
        <v>0</v>
      </c>
      <c r="M24" s="25" t="n">
        <f aca="false">'Oliveira do Bairro'!K25</f>
        <v>0</v>
      </c>
      <c r="N24" s="25" t="n">
        <f aca="false">'Oliveira do Bairro'!L25</f>
        <v>0</v>
      </c>
      <c r="O24" s="26" t="str">
        <f aca="false">IFERROR(N24/D24,"")</f>
        <v/>
      </c>
      <c r="P24" s="25" t="n">
        <f aca="false">'Oliveira do Bairro'!N25</f>
        <v>0</v>
      </c>
      <c r="Q24" s="25" t="n">
        <f aca="false">'Oliveira do Bairro'!O25</f>
        <v>0</v>
      </c>
      <c r="R24" s="26" t="str">
        <f aca="false">IFERROR(Q24/E24,"")</f>
        <v/>
      </c>
      <c r="S24" s="25" t="n">
        <f aca="false">SUM(N24,Q24)</f>
        <v>0</v>
      </c>
    </row>
    <row r="25" customFormat="false" ht="15" hidden="false" customHeight="false" outlineLevel="0" collapsed="false">
      <c r="A25" s="27"/>
      <c r="B25" s="28" t="s">
        <v>225</v>
      </c>
      <c r="C25" s="28" t="n">
        <f aca="false">COUNTA('Oliveira do Bairro'!$A$3:$A$24)-COUNTIF('Oliveira do Bairro'!$B$3:$B$24,"ERPI")</f>
        <v>10</v>
      </c>
      <c r="D25" s="28" t="n">
        <f aca="false">'Oliveira do Bairro'!D26</f>
        <v>0</v>
      </c>
      <c r="E25" s="28" t="n">
        <f aca="false">'Oliveira do Bairro'!C26</f>
        <v>0</v>
      </c>
      <c r="F25" s="28" t="n">
        <f aca="false">'Oliveira do Bairro'!E26</f>
        <v>0</v>
      </c>
      <c r="G25" s="28" t="n">
        <f aca="false">'Oliveira do Bairro'!F26</f>
        <v>0</v>
      </c>
      <c r="H25" s="29" t="str">
        <f aca="false">IFERROR(G25/D25,"")</f>
        <v/>
      </c>
      <c r="I25" s="28" t="n">
        <f aca="false">'Oliveira do Bairro'!H26</f>
        <v>0</v>
      </c>
      <c r="J25" s="28" t="n">
        <f aca="false">'Oliveira do Bairro'!I26</f>
        <v>0</v>
      </c>
      <c r="K25" s="29" t="str">
        <f aca="false">IFERROR(J25/E25,"")</f>
        <v/>
      </c>
      <c r="L25" s="28" t="n">
        <f aca="false">SUM(G25,J25)</f>
        <v>0</v>
      </c>
      <c r="M25" s="28" t="n">
        <f aca="false">'Oliveira do Bairro'!K26</f>
        <v>0</v>
      </c>
      <c r="N25" s="28" t="n">
        <f aca="false">'Oliveira do Bairro'!L26</f>
        <v>0</v>
      </c>
      <c r="O25" s="29" t="str">
        <f aca="false">IFERROR(N25/D25,"")</f>
        <v/>
      </c>
      <c r="P25" s="28" t="n">
        <f aca="false">'Oliveira do Bairro'!N26</f>
        <v>0</v>
      </c>
      <c r="Q25" s="28" t="n">
        <f aca="false">'Oliveira do Bairro'!O26</f>
        <v>0</v>
      </c>
      <c r="R25" s="29" t="str">
        <f aca="false">IFERROR(Q25/E25,"")</f>
        <v/>
      </c>
      <c r="S25" s="28" t="n">
        <f aca="false">SUM(N25,Q25)</f>
        <v>0</v>
      </c>
    </row>
    <row r="26" customFormat="false" ht="15" hidden="false" customHeight="false" outlineLevel="0" collapsed="false">
      <c r="A26" s="21"/>
      <c r="B26" s="22" t="s">
        <v>226</v>
      </c>
      <c r="C26" s="22" t="n">
        <f aca="false">SUM(C24:C25)</f>
        <v>18</v>
      </c>
      <c r="D26" s="22" t="n">
        <f aca="false">'Oliveira do Bairro'!D27</f>
        <v>0</v>
      </c>
      <c r="E26" s="22" t="n">
        <f aca="false">'Oliveira do Bairro'!C27</f>
        <v>0</v>
      </c>
      <c r="F26" s="22" t="n">
        <f aca="false">'Oliveira do Bairro'!E27</f>
        <v>0</v>
      </c>
      <c r="G26" s="22" t="n">
        <f aca="false">'Oliveira do Bairro'!F27</f>
        <v>0</v>
      </c>
      <c r="H26" s="23" t="str">
        <f aca="false">IFERROR(G26/D26,"")</f>
        <v/>
      </c>
      <c r="I26" s="22" t="n">
        <f aca="false">'Oliveira do Bairro'!H27</f>
        <v>0</v>
      </c>
      <c r="J26" s="22" t="n">
        <f aca="false">'Oliveira do Bairro'!I27</f>
        <v>0</v>
      </c>
      <c r="K26" s="23" t="str">
        <f aca="false">IFERROR(J26/E26,"")</f>
        <v/>
      </c>
      <c r="L26" s="22" t="n">
        <f aca="false">SUM(G26,J26)</f>
        <v>0</v>
      </c>
      <c r="M26" s="22" t="n">
        <f aca="false">'Oliveira do Bairro'!K27</f>
        <v>0</v>
      </c>
      <c r="N26" s="22" t="n">
        <f aca="false">'Oliveira do Bairro'!L27</f>
        <v>0</v>
      </c>
      <c r="O26" s="23" t="str">
        <f aca="false">IFERROR(N26/D26,"")</f>
        <v/>
      </c>
      <c r="P26" s="22" t="n">
        <f aca="false">'Oliveira do Bairro'!N27</f>
        <v>0</v>
      </c>
      <c r="Q26" s="22" t="n">
        <f aca="false">'Oliveira do Bairro'!O27</f>
        <v>0</v>
      </c>
      <c r="R26" s="23" t="str">
        <f aca="false">IFERROR(Q26/E26,"")</f>
        <v/>
      </c>
      <c r="S26" s="22" t="n">
        <f aca="false">SUM(N26,Q26)</f>
        <v>0</v>
      </c>
    </row>
    <row r="27" customFormat="false" ht="15" hidden="false" customHeight="false" outlineLevel="0" collapsed="false">
      <c r="A27" s="24" t="s">
        <v>234</v>
      </c>
      <c r="B27" s="25" t="s">
        <v>23</v>
      </c>
      <c r="C27" s="25" t="n">
        <f aca="false">COUNTIFS('Sever do Vouga'!$B$3:$B$16,"ERPI")</f>
        <v>4</v>
      </c>
      <c r="D27" s="25" t="n">
        <f aca="false">'Sever do Vouga'!D17</f>
        <v>0</v>
      </c>
      <c r="E27" s="25" t="n">
        <f aca="false">'Sever do Vouga'!C17</f>
        <v>0</v>
      </c>
      <c r="F27" s="25" t="n">
        <f aca="false">'Sever do Vouga'!E17</f>
        <v>0</v>
      </c>
      <c r="G27" s="25" t="n">
        <f aca="false">'Sever do Vouga'!F17</f>
        <v>0</v>
      </c>
      <c r="H27" s="26" t="str">
        <f aca="false">IFERROR(G27/D27,"")</f>
        <v/>
      </c>
      <c r="I27" s="25" t="n">
        <f aca="false">'Sever do Vouga'!H17</f>
        <v>0</v>
      </c>
      <c r="J27" s="25" t="n">
        <f aca="false">'Sever do Vouga'!I17</f>
        <v>0</v>
      </c>
      <c r="K27" s="26" t="str">
        <f aca="false">IFERROR(J27/E27,"")</f>
        <v/>
      </c>
      <c r="L27" s="25" t="n">
        <f aca="false">SUM(G27,J27)</f>
        <v>0</v>
      </c>
      <c r="M27" s="25" t="n">
        <f aca="false">'Sever do Vouga'!K17</f>
        <v>0</v>
      </c>
      <c r="N27" s="25" t="n">
        <f aca="false">'Sever do Vouga'!L17</f>
        <v>0</v>
      </c>
      <c r="O27" s="26" t="str">
        <f aca="false">IFERROR(N27/D27,"")</f>
        <v/>
      </c>
      <c r="P27" s="25" t="n">
        <f aca="false">'Sever do Vouga'!N17</f>
        <v>0</v>
      </c>
      <c r="Q27" s="25" t="n">
        <f aca="false">'Sever do Vouga'!O17</f>
        <v>0</v>
      </c>
      <c r="R27" s="26" t="str">
        <f aca="false">IFERROR(Q27/E27,"")</f>
        <v/>
      </c>
      <c r="S27" s="25" t="n">
        <f aca="false">SUM(N27,Q27)</f>
        <v>0</v>
      </c>
    </row>
    <row r="28" customFormat="false" ht="15" hidden="false" customHeight="false" outlineLevel="0" collapsed="false">
      <c r="A28" s="27"/>
      <c r="B28" s="28" t="s">
        <v>225</v>
      </c>
      <c r="C28" s="28" t="n">
        <f aca="false">COUNTA('Sever do Vouga'!$A$3:$A$16)-COUNTIF('Sever do Vouga'!$B$3:$B$16,"ERPI")</f>
        <v>6</v>
      </c>
      <c r="D28" s="28" t="n">
        <f aca="false">'Sever do Vouga'!D18</f>
        <v>0</v>
      </c>
      <c r="E28" s="28" t="n">
        <f aca="false">'Sever do Vouga'!C18</f>
        <v>0</v>
      </c>
      <c r="F28" s="28" t="n">
        <f aca="false">'Sever do Vouga'!E18</f>
        <v>0</v>
      </c>
      <c r="G28" s="28" t="n">
        <f aca="false">'Sever do Vouga'!F18</f>
        <v>0</v>
      </c>
      <c r="H28" s="29" t="str">
        <f aca="false">IFERROR(G28/D28,"")</f>
        <v/>
      </c>
      <c r="I28" s="28" t="n">
        <f aca="false">'Sever do Vouga'!H18</f>
        <v>0</v>
      </c>
      <c r="J28" s="28" t="n">
        <f aca="false">'Sever do Vouga'!I18</f>
        <v>0</v>
      </c>
      <c r="K28" s="29" t="str">
        <f aca="false">IFERROR(J28/E28,"")</f>
        <v/>
      </c>
      <c r="L28" s="28" t="n">
        <f aca="false">SUM(G28,J28)</f>
        <v>0</v>
      </c>
      <c r="M28" s="28" t="n">
        <f aca="false">'Sever do Vouga'!K18</f>
        <v>0</v>
      </c>
      <c r="N28" s="28" t="n">
        <f aca="false">'Sever do Vouga'!L18</f>
        <v>0</v>
      </c>
      <c r="O28" s="29" t="str">
        <f aca="false">IFERROR(N28/D28,"")</f>
        <v/>
      </c>
      <c r="P28" s="28" t="n">
        <f aca="false">'Sever do Vouga'!N18</f>
        <v>0</v>
      </c>
      <c r="Q28" s="28" t="n">
        <f aca="false">'Sever do Vouga'!O18</f>
        <v>0</v>
      </c>
      <c r="R28" s="29" t="str">
        <f aca="false">IFERROR(Q28/E28,"")</f>
        <v/>
      </c>
      <c r="S28" s="28" t="n">
        <f aca="false">SUM(N28,Q28)</f>
        <v>0</v>
      </c>
    </row>
    <row r="29" customFormat="false" ht="15" hidden="false" customHeight="false" outlineLevel="0" collapsed="false">
      <c r="A29" s="21"/>
      <c r="B29" s="22" t="s">
        <v>226</v>
      </c>
      <c r="C29" s="22" t="n">
        <f aca="false">SUM(C27:C28)</f>
        <v>10</v>
      </c>
      <c r="D29" s="22" t="n">
        <f aca="false">'Sever do Vouga'!D19</f>
        <v>0</v>
      </c>
      <c r="E29" s="22" t="n">
        <f aca="false">'Sever do Vouga'!C19</f>
        <v>0</v>
      </c>
      <c r="F29" s="22" t="n">
        <f aca="false">'Sever do Vouga'!E19</f>
        <v>0</v>
      </c>
      <c r="G29" s="22" t="n">
        <f aca="false">'Sever do Vouga'!F19</f>
        <v>0</v>
      </c>
      <c r="H29" s="23" t="str">
        <f aca="false">IFERROR(G29/D29,"")</f>
        <v/>
      </c>
      <c r="I29" s="22" t="n">
        <f aca="false">'Sever do Vouga'!H19</f>
        <v>0</v>
      </c>
      <c r="J29" s="22" t="n">
        <f aca="false">'Sever do Vouga'!I19</f>
        <v>0</v>
      </c>
      <c r="K29" s="23" t="str">
        <f aca="false">IFERROR(J29/E29,"")</f>
        <v/>
      </c>
      <c r="L29" s="22" t="n">
        <f aca="false">SUM(G29,J29)</f>
        <v>0</v>
      </c>
      <c r="M29" s="22" t="n">
        <f aca="false">'Sever do Vouga'!K19</f>
        <v>0</v>
      </c>
      <c r="N29" s="22" t="n">
        <f aca="false">'Sever do Vouga'!L19</f>
        <v>0</v>
      </c>
      <c r="O29" s="23" t="str">
        <f aca="false">IFERROR(N29/D29,"")</f>
        <v/>
      </c>
      <c r="P29" s="22" t="n">
        <f aca="false">'Sever do Vouga'!N19</f>
        <v>0</v>
      </c>
      <c r="Q29" s="22" t="n">
        <f aca="false">'Sever do Vouga'!O19</f>
        <v>0</v>
      </c>
      <c r="R29" s="23" t="str">
        <f aca="false">IFERROR(Q29/E29,"")</f>
        <v/>
      </c>
      <c r="S29" s="22" t="n">
        <f aca="false">SUM(N29,Q29)</f>
        <v>0</v>
      </c>
    </row>
    <row r="30" customFormat="false" ht="15" hidden="false" customHeight="false" outlineLevel="0" collapsed="false">
      <c r="A30" s="24" t="s">
        <v>235</v>
      </c>
      <c r="B30" s="25" t="s">
        <v>23</v>
      </c>
      <c r="C30" s="25" t="n">
        <f aca="false">COUNTIFS(Vagos!$B$3:$B$16,"ERPI")</f>
        <v>5</v>
      </c>
      <c r="D30" s="25" t="n">
        <f aca="false">Vagos!D17</f>
        <v>0</v>
      </c>
      <c r="E30" s="25" t="n">
        <f aca="false">Vagos!C17</f>
        <v>0</v>
      </c>
      <c r="F30" s="25" t="n">
        <f aca="false">Vagos!E17</f>
        <v>0</v>
      </c>
      <c r="G30" s="25" t="n">
        <f aca="false">Vagos!F17</f>
        <v>0</v>
      </c>
      <c r="H30" s="26" t="str">
        <f aca="false">IFERROR(G30/D30,"")</f>
        <v/>
      </c>
      <c r="I30" s="25" t="n">
        <f aca="false">Vagos!H17</f>
        <v>0</v>
      </c>
      <c r="J30" s="25" t="n">
        <f aca="false">Vagos!I17</f>
        <v>0</v>
      </c>
      <c r="K30" s="26" t="str">
        <f aca="false">IFERROR(J30/E30,"")</f>
        <v/>
      </c>
      <c r="L30" s="25" t="n">
        <f aca="false">SUM(G30,J30)</f>
        <v>0</v>
      </c>
      <c r="M30" s="25" t="n">
        <f aca="false">Vagos!K17</f>
        <v>0</v>
      </c>
      <c r="N30" s="25" t="n">
        <f aca="false">Vagos!L17</f>
        <v>0</v>
      </c>
      <c r="O30" s="26" t="str">
        <f aca="false">IFERROR(N30/D30,"")</f>
        <v/>
      </c>
      <c r="P30" s="25" t="n">
        <f aca="false">Vagos!N17</f>
        <v>0</v>
      </c>
      <c r="Q30" s="25" t="n">
        <f aca="false">Vagos!O17</f>
        <v>0</v>
      </c>
      <c r="R30" s="26" t="str">
        <f aca="false">IFERROR(Q30/E30,"")</f>
        <v/>
      </c>
      <c r="S30" s="25" t="n">
        <f aca="false">SUM(N30,Q30)</f>
        <v>0</v>
      </c>
    </row>
    <row r="31" customFormat="false" ht="15" hidden="false" customHeight="false" outlineLevel="0" collapsed="false">
      <c r="A31" s="27"/>
      <c r="B31" s="28" t="s">
        <v>225</v>
      </c>
      <c r="C31" s="28" t="n">
        <f aca="false">COUNTA(Vagos!$A$3:$A$16)-COUNTIF(Vagos!$B$3:$B$16,"ERPI")</f>
        <v>5</v>
      </c>
      <c r="D31" s="28" t="n">
        <f aca="false">Vagos!D18</f>
        <v>0</v>
      </c>
      <c r="E31" s="28" t="n">
        <f aca="false">Vagos!C18</f>
        <v>0</v>
      </c>
      <c r="F31" s="28" t="n">
        <f aca="false">Vagos!E18</f>
        <v>0</v>
      </c>
      <c r="G31" s="28" t="n">
        <f aca="false">Vagos!F18</f>
        <v>0</v>
      </c>
      <c r="H31" s="29" t="str">
        <f aca="false">IFERROR(G31/D31,"")</f>
        <v/>
      </c>
      <c r="I31" s="28" t="n">
        <f aca="false">Vagos!H18</f>
        <v>0</v>
      </c>
      <c r="J31" s="28" t="n">
        <f aca="false">Vagos!I18</f>
        <v>0</v>
      </c>
      <c r="K31" s="29" t="str">
        <f aca="false">IFERROR(J31/E31,"")</f>
        <v/>
      </c>
      <c r="L31" s="28" t="n">
        <f aca="false">SUM(G31,J31)</f>
        <v>0</v>
      </c>
      <c r="M31" s="28" t="n">
        <f aca="false">Vagos!K18</f>
        <v>0</v>
      </c>
      <c r="N31" s="28" t="n">
        <f aca="false">Vagos!L18</f>
        <v>0</v>
      </c>
      <c r="O31" s="29" t="str">
        <f aca="false">IFERROR(N31/D31,"")</f>
        <v/>
      </c>
      <c r="P31" s="28" t="n">
        <f aca="false">Vagos!N18</f>
        <v>0</v>
      </c>
      <c r="Q31" s="28" t="n">
        <f aca="false">Vagos!O18</f>
        <v>0</v>
      </c>
      <c r="R31" s="29" t="str">
        <f aca="false">IFERROR(Q31/E31,"")</f>
        <v/>
      </c>
      <c r="S31" s="28" t="n">
        <f aca="false">SUM(N31,Q31)</f>
        <v>0</v>
      </c>
    </row>
    <row r="32" customFormat="false" ht="15" hidden="false" customHeight="false" outlineLevel="0" collapsed="false">
      <c r="A32" s="21"/>
      <c r="B32" s="22" t="s">
        <v>226</v>
      </c>
      <c r="C32" s="22" t="n">
        <f aca="false">SUM(C30:C31)</f>
        <v>10</v>
      </c>
      <c r="D32" s="22" t="n">
        <f aca="false">Vagos!D19</f>
        <v>0</v>
      </c>
      <c r="E32" s="22" t="n">
        <f aca="false">Vagos!C19</f>
        <v>0</v>
      </c>
      <c r="F32" s="22" t="n">
        <f aca="false">Vagos!E19</f>
        <v>0</v>
      </c>
      <c r="G32" s="22" t="n">
        <f aca="false">Vagos!F19</f>
        <v>0</v>
      </c>
      <c r="H32" s="23" t="str">
        <f aca="false">IFERROR(G32/D32,"")</f>
        <v/>
      </c>
      <c r="I32" s="22" t="n">
        <f aca="false">Vagos!H19</f>
        <v>0</v>
      </c>
      <c r="J32" s="22" t="n">
        <f aca="false">Vagos!I19</f>
        <v>0</v>
      </c>
      <c r="K32" s="23" t="str">
        <f aca="false">IFERROR(J32/E32,"")</f>
        <v/>
      </c>
      <c r="L32" s="22" t="n">
        <f aca="false">SUM(G32,J32)</f>
        <v>0</v>
      </c>
      <c r="M32" s="22" t="n">
        <f aca="false">Vagos!K19</f>
        <v>0</v>
      </c>
      <c r="N32" s="22" t="n">
        <f aca="false">Vagos!L19</f>
        <v>0</v>
      </c>
      <c r="O32" s="23" t="str">
        <f aca="false">IFERROR(N32/D32,"")</f>
        <v/>
      </c>
      <c r="P32" s="22" t="n">
        <f aca="false">Vagos!N19</f>
        <v>0</v>
      </c>
      <c r="Q32" s="22" t="n">
        <f aca="false">Vagos!O19</f>
        <v>0</v>
      </c>
      <c r="R32" s="23" t="str">
        <f aca="false">IFERROR(Q32/E32,"")</f>
        <v/>
      </c>
      <c r="S32" s="22" t="n">
        <f aca="false">SUM(N32,Q32)</f>
        <v>0</v>
      </c>
    </row>
    <row r="34" customFormat="false" ht="15" hidden="false" customHeight="false" outlineLevel="0" collapsed="false">
      <c r="A34" s="15" t="s">
        <v>73</v>
      </c>
      <c r="B34" s="16"/>
      <c r="C34" s="16" t="n">
        <f aca="false">SUMIFS(C$3:C$32,$B$3:$B$32,"ERPI")</f>
        <v>81</v>
      </c>
      <c r="D34" s="16" t="n">
        <f aca="false">SUMIFS(D$3:D$32,$B$3:$B$32,"ERPI")</f>
        <v>0</v>
      </c>
      <c r="E34" s="16" t="n">
        <f aca="false">SUMIFS(E$3:E$32,$B$3:$B$32,"ERPI")</f>
        <v>0</v>
      </c>
      <c r="F34" s="16" t="n">
        <f aca="false">SUMIFS(F$3:F$32,$B$3:$B$32,"ERPI")</f>
        <v>0</v>
      </c>
      <c r="G34" s="16" t="n">
        <f aca="false">SUMIFS(G$3:G$32,$B$3:$B$32,"ERPI")</f>
        <v>0</v>
      </c>
      <c r="H34" s="17" t="str">
        <f aca="false">IFERROR(G34/D34,"")</f>
        <v/>
      </c>
      <c r="I34" s="16" t="n">
        <f aca="false">SUMIFS(I$3:I$32,$B$3:$B$32,"ERPI")</f>
        <v>0</v>
      </c>
      <c r="J34" s="16" t="n">
        <f aca="false">SUMIFS(J$3:J$32,$B$3:$B$32,"ERPI")</f>
        <v>0</v>
      </c>
      <c r="K34" s="17" t="str">
        <f aca="false">IFERROR(J34/E34,"")</f>
        <v/>
      </c>
      <c r="L34" s="16" t="n">
        <f aca="false">SUM(G34,J34)</f>
        <v>0</v>
      </c>
      <c r="M34" s="16" t="n">
        <f aca="false">SUMIFS(M$3:M$32,$B$3:$B$32,"ERPI")</f>
        <v>0</v>
      </c>
      <c r="N34" s="16" t="n">
        <f aca="false">SUMIFS(N$3:N$32,$B$3:$B$32,"ERPI")</f>
        <v>0</v>
      </c>
      <c r="O34" s="17" t="str">
        <f aca="false">IFERROR(N34/D34,"")</f>
        <v/>
      </c>
      <c r="P34" s="16" t="n">
        <f aca="false">SUMIFS(P$3:P$32,$B$3:$B$32,"ERPI")</f>
        <v>0</v>
      </c>
      <c r="Q34" s="16" t="n">
        <f aca="false">SUMIFS(Q$3:Q$32,$B$3:$B$32,"ERPI")</f>
        <v>0</v>
      </c>
      <c r="R34" s="17" t="str">
        <f aca="false">IFERROR(Q34/E34,"")</f>
        <v/>
      </c>
      <c r="S34" s="16" t="n">
        <f aca="false">SUM(N34,Q34)</f>
        <v>0</v>
      </c>
    </row>
    <row r="35" customFormat="false" ht="15" hidden="false" customHeight="false" outlineLevel="0" collapsed="false">
      <c r="A35" s="18" t="s">
        <v>74</v>
      </c>
      <c r="B35" s="19"/>
      <c r="C35" s="19" t="n">
        <f aca="false">SUMIFS(C$3:C$32,$B$3:$B$32,"Similares")</f>
        <v>100</v>
      </c>
      <c r="D35" s="19" t="n">
        <f aca="false">SUMIFS(D$3:D$32,$B$3:$B$32,"Similares")</f>
        <v>0</v>
      </c>
      <c r="E35" s="19" t="n">
        <f aca="false">SUMIFS(E$3:E$32,$B$3:$B$32,"Similares")</f>
        <v>0</v>
      </c>
      <c r="F35" s="19" t="n">
        <f aca="false">SUMIFS(F$3:F$32,$B$3:$B$32,"Similares")</f>
        <v>0</v>
      </c>
      <c r="G35" s="19" t="n">
        <f aca="false">SUMIFS(G$3:G$32,$B$3:$B$32,"Similares")</f>
        <v>0</v>
      </c>
      <c r="H35" s="20" t="str">
        <f aca="false">IFERROR(G35/D35,"")</f>
        <v/>
      </c>
      <c r="I35" s="19" t="n">
        <f aca="false">SUMIFS(I$3:I$32,$B$3:$B$32,"Similares")</f>
        <v>0</v>
      </c>
      <c r="J35" s="19" t="n">
        <f aca="false">SUMIFS(J$3:J$32,$B$3:$B$32,"Similares")</f>
        <v>0</v>
      </c>
      <c r="K35" s="20" t="str">
        <f aca="false">IFERROR(J35/E35,"")</f>
        <v/>
      </c>
      <c r="L35" s="19" t="n">
        <f aca="false">SUM(G35,J35)</f>
        <v>0</v>
      </c>
      <c r="M35" s="19" t="n">
        <f aca="false">SUMIFS(M$3:M$32,$B$3:$B$32,"Similares")</f>
        <v>0</v>
      </c>
      <c r="N35" s="19" t="n">
        <f aca="false">SUMIFS(N$3:N$32,$B$3:$B$32,"Similares")</f>
        <v>0</v>
      </c>
      <c r="O35" s="20" t="str">
        <f aca="false">IFERROR(N35/D35,"")</f>
        <v/>
      </c>
      <c r="P35" s="19" t="n">
        <f aca="false">SUMIFS(P$3:P$32,$B$3:$B$32,"Similares")</f>
        <v>0</v>
      </c>
      <c r="Q35" s="19" t="n">
        <f aca="false">SUMIFS(Q$3:Q$32,$B$3:$B$32,"Similares")</f>
        <v>0</v>
      </c>
      <c r="R35" s="20" t="str">
        <f aca="false">IFERROR(Q35/E35,"")</f>
        <v/>
      </c>
      <c r="S35" s="19" t="n">
        <f aca="false">SUM(N35,Q35)</f>
        <v>0</v>
      </c>
    </row>
    <row r="36" customFormat="false" ht="15" hidden="false" customHeight="false" outlineLevel="0" collapsed="false">
      <c r="A36" s="21" t="s">
        <v>236</v>
      </c>
      <c r="B36" s="22"/>
      <c r="C36" s="22" t="n">
        <f aca="false">SUMIFS(C$3:C$32,$B$3:$B$32,"Total")</f>
        <v>181</v>
      </c>
      <c r="D36" s="22" t="n">
        <f aca="false">SUMIFS(D$3:D$32,$B$3:$B$32,"Total")</f>
        <v>0</v>
      </c>
      <c r="E36" s="22" t="n">
        <f aca="false">SUMIFS(E$3:E$32,$B$3:$B$32,"Total")</f>
        <v>0</v>
      </c>
      <c r="F36" s="22" t="n">
        <f aca="false">SUMIFS(F$3:F$32,$B$3:$B$32,"Total")</f>
        <v>0</v>
      </c>
      <c r="G36" s="22" t="n">
        <f aca="false">SUMIFS(G$3:G$32,$B$3:$B$32,"Total")</f>
        <v>0</v>
      </c>
      <c r="H36" s="23" t="str">
        <f aca="false">IFERROR(G36/D36,"")</f>
        <v/>
      </c>
      <c r="I36" s="22" t="n">
        <f aca="false">SUMIFS(I$3:I$32,$B$3:$B$32,"Total")</f>
        <v>0</v>
      </c>
      <c r="J36" s="22" t="n">
        <f aca="false">SUMIFS(J$3:J$32,$B$3:$B$32,"Total")</f>
        <v>0</v>
      </c>
      <c r="K36" s="23" t="str">
        <f aca="false">IFERROR(J36/E36,"")</f>
        <v/>
      </c>
      <c r="L36" s="22" t="n">
        <f aca="false">SUM(G36,J36)</f>
        <v>0</v>
      </c>
      <c r="M36" s="22" t="n">
        <f aca="false">SUMIFS(M$3:M$32,$B$3:$B$32,"Total")</f>
        <v>0</v>
      </c>
      <c r="N36" s="22" t="n">
        <f aca="false">SUMIFS(N$3:N$32,$B$3:$B$32,"Total")</f>
        <v>0</v>
      </c>
      <c r="O36" s="23" t="str">
        <f aca="false">IFERROR(N36/D36,"")</f>
        <v/>
      </c>
      <c r="P36" s="22" t="n">
        <f aca="false">SUMIFS(P$3:P$32,$B$3:$B$32,"Total")</f>
        <v>0</v>
      </c>
      <c r="Q36" s="22" t="n">
        <f aca="false">SUMIFS(Q$3:Q$32,$B$3:$B$32,"Total")</f>
        <v>0</v>
      </c>
      <c r="R36" s="23" t="str">
        <f aca="false">IFERROR(Q36/E36,"")</f>
        <v/>
      </c>
      <c r="S36" s="22" t="n">
        <f aca="false">SUM(N36,Q36)</f>
        <v>0</v>
      </c>
    </row>
  </sheetData>
  <sheetProtection sheet="true"/>
  <mergeCells count="2">
    <mergeCell ref="F1:L1"/>
    <mergeCell ref="M1:S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2026-08-28T11:58:57Z</dcterms:created>
  <dc:creator>openpyxl</dc:creator>
  <dc:description/>
  <dc:language>en-US</dc:language>
  <cp:lastModifiedBy/>
  <dcterms:modified xsi:type="dcterms:W3CDTF">2026-08-28T11:58:57Z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